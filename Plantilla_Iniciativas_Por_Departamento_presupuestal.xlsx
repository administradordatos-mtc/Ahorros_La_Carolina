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0" documentId="8_{0CAA2458-2EA1-4887-8212-0DA3784AE5DC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Instrucciones" sheetId="1" r:id="rId1"/>
    <sheet name="Tesorería" sheetId="2" r:id="rId2"/>
    <sheet name="Contabilidad" sheetId="3" r:id="rId3"/>
    <sheet name="Mantenimiento y Compras" sheetId="4" r:id="rId4"/>
    <sheet name="Operaciones" sheetId="5" r:id="rId5"/>
    <sheet name="Comercial" sheetId="6" r:id="rId6"/>
    <sheet name="Tecnología (TI)" sheetId="7" r:id="rId7"/>
    <sheet name="Talento Humano" sheetId="8" r:id="rId8"/>
    <sheet name="CONSOLIDADO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2" l="1"/>
  <c r="I14" i="8"/>
  <c r="I12" i="8"/>
  <c r="I11" i="8"/>
  <c r="I12" i="2"/>
  <c r="I11" i="2"/>
  <c r="I19" i="4"/>
  <c r="I18" i="4"/>
  <c r="I17" i="7"/>
  <c r="I11" i="7"/>
  <c r="H17" i="7"/>
  <c r="H11" i="7"/>
  <c r="E17" i="3"/>
  <c r="H11" i="9"/>
  <c r="G11" i="9"/>
  <c r="D11" i="9"/>
  <c r="C11" i="9"/>
  <c r="H10" i="9"/>
  <c r="G10" i="9"/>
  <c r="D10" i="9"/>
  <c r="C10" i="9"/>
  <c r="H9" i="9"/>
  <c r="G9" i="9"/>
  <c r="D9" i="9"/>
  <c r="C9" i="9"/>
  <c r="H8" i="9"/>
  <c r="G8" i="9"/>
  <c r="D8" i="9"/>
  <c r="C8" i="9"/>
  <c r="H7" i="9"/>
  <c r="G7" i="9"/>
  <c r="D7" i="9"/>
  <c r="C7" i="9"/>
  <c r="H6" i="9"/>
  <c r="G6" i="9"/>
  <c r="D6" i="9"/>
  <c r="C6" i="9"/>
  <c r="H5" i="9"/>
  <c r="G5" i="9"/>
  <c r="G12" i="9" s="1"/>
  <c r="D5" i="9"/>
  <c r="D12" i="9" s="1"/>
  <c r="C5" i="9"/>
  <c r="J21" i="8"/>
  <c r="G21" i="8"/>
  <c r="F21" i="8"/>
  <c r="E21" i="8"/>
  <c r="L20" i="8"/>
  <c r="H20" i="8"/>
  <c r="L19" i="8"/>
  <c r="H19" i="8"/>
  <c r="L18" i="8"/>
  <c r="H18" i="8"/>
  <c r="L17" i="8"/>
  <c r="H17" i="8"/>
  <c r="L16" i="8"/>
  <c r="H16" i="8"/>
  <c r="L15" i="8"/>
  <c r="H15" i="8"/>
  <c r="L14" i="8"/>
  <c r="H14" i="8"/>
  <c r="L13" i="8"/>
  <c r="H13" i="8"/>
  <c r="I13" i="8" s="1"/>
  <c r="L12" i="8"/>
  <c r="H12" i="8"/>
  <c r="L11" i="8"/>
  <c r="H11" i="8"/>
  <c r="G7" i="8"/>
  <c r="J26" i="7"/>
  <c r="G26" i="7"/>
  <c r="F26" i="7"/>
  <c r="E26" i="7"/>
  <c r="L25" i="7"/>
  <c r="H25" i="7"/>
  <c r="L24" i="7"/>
  <c r="H24" i="7"/>
  <c r="L23" i="7"/>
  <c r="H23" i="7"/>
  <c r="L22" i="7"/>
  <c r="H22" i="7"/>
  <c r="L21" i="7"/>
  <c r="H21" i="7"/>
  <c r="L20" i="7"/>
  <c r="H20" i="7"/>
  <c r="L19" i="7"/>
  <c r="H19" i="7"/>
  <c r="L18" i="7"/>
  <c r="H18" i="7"/>
  <c r="L17" i="7"/>
  <c r="L16" i="7"/>
  <c r="H16" i="7"/>
  <c r="L15" i="7"/>
  <c r="H15" i="7"/>
  <c r="L14" i="7"/>
  <c r="H14" i="7"/>
  <c r="L13" i="7"/>
  <c r="H13" i="7"/>
  <c r="L12" i="7"/>
  <c r="H12" i="7"/>
  <c r="L11" i="7"/>
  <c r="G7" i="7"/>
  <c r="J26" i="6"/>
  <c r="G26" i="6"/>
  <c r="F26" i="6"/>
  <c r="E26" i="6"/>
  <c r="L25" i="6"/>
  <c r="H25" i="6"/>
  <c r="L24" i="6"/>
  <c r="H24" i="6"/>
  <c r="L23" i="6"/>
  <c r="H23" i="6"/>
  <c r="L22" i="6"/>
  <c r="H22" i="6"/>
  <c r="L21" i="6"/>
  <c r="H21" i="6"/>
  <c r="L20" i="6"/>
  <c r="H20" i="6"/>
  <c r="L19" i="6"/>
  <c r="H19" i="6"/>
  <c r="L18" i="6"/>
  <c r="H18" i="6"/>
  <c r="L17" i="6"/>
  <c r="H17" i="6"/>
  <c r="L16" i="6"/>
  <c r="H16" i="6"/>
  <c r="L15" i="6"/>
  <c r="H15" i="6"/>
  <c r="L14" i="6"/>
  <c r="H14" i="6"/>
  <c r="L13" i="6"/>
  <c r="H13" i="6"/>
  <c r="L12" i="6"/>
  <c r="H12" i="6"/>
  <c r="L11" i="6"/>
  <c r="H11" i="6"/>
  <c r="G7" i="6"/>
  <c r="J26" i="5"/>
  <c r="G26" i="5"/>
  <c r="F26" i="5"/>
  <c r="E26" i="5"/>
  <c r="L25" i="5"/>
  <c r="H25" i="5"/>
  <c r="L24" i="5"/>
  <c r="H24" i="5"/>
  <c r="L23" i="5"/>
  <c r="H23" i="5"/>
  <c r="L22" i="5"/>
  <c r="H22" i="5"/>
  <c r="L21" i="5"/>
  <c r="H21" i="5"/>
  <c r="L20" i="5"/>
  <c r="H20" i="5"/>
  <c r="L19" i="5"/>
  <c r="H19" i="5"/>
  <c r="L18" i="5"/>
  <c r="H18" i="5"/>
  <c r="L17" i="5"/>
  <c r="H17" i="5"/>
  <c r="L16" i="5"/>
  <c r="H16" i="5"/>
  <c r="L15" i="5"/>
  <c r="H15" i="5"/>
  <c r="L14" i="5"/>
  <c r="H14" i="5"/>
  <c r="L13" i="5"/>
  <c r="H13" i="5"/>
  <c r="L12" i="5"/>
  <c r="H12" i="5"/>
  <c r="L11" i="5"/>
  <c r="H11" i="5"/>
  <c r="G7" i="5"/>
  <c r="J26" i="4"/>
  <c r="G26" i="4"/>
  <c r="F26" i="4"/>
  <c r="E26" i="4"/>
  <c r="L25" i="4"/>
  <c r="H25" i="4"/>
  <c r="L24" i="4"/>
  <c r="H24" i="4"/>
  <c r="L23" i="4"/>
  <c r="H23" i="4"/>
  <c r="L22" i="4"/>
  <c r="H22" i="4"/>
  <c r="L21" i="4"/>
  <c r="H21" i="4"/>
  <c r="L20" i="4"/>
  <c r="H20" i="4"/>
  <c r="L19" i="4"/>
  <c r="L18" i="4"/>
  <c r="L17" i="4"/>
  <c r="H17" i="4"/>
  <c r="L16" i="4"/>
  <c r="H16" i="4"/>
  <c r="L15" i="4"/>
  <c r="H15" i="4"/>
  <c r="L14" i="4"/>
  <c r="H14" i="4"/>
  <c r="L13" i="4"/>
  <c r="H13" i="4"/>
  <c r="L12" i="4"/>
  <c r="H12" i="4"/>
  <c r="L11" i="4"/>
  <c r="H11" i="4"/>
  <c r="G7" i="4"/>
  <c r="J26" i="3"/>
  <c r="G26" i="3"/>
  <c r="F26" i="3"/>
  <c r="E26" i="3"/>
  <c r="L25" i="3"/>
  <c r="H25" i="3"/>
  <c r="L24" i="3"/>
  <c r="H24" i="3"/>
  <c r="L23" i="3"/>
  <c r="H23" i="3"/>
  <c r="L22" i="3"/>
  <c r="H22" i="3"/>
  <c r="L21" i="3"/>
  <c r="H21" i="3"/>
  <c r="L20" i="3"/>
  <c r="H20" i="3"/>
  <c r="L19" i="3"/>
  <c r="H19" i="3"/>
  <c r="L18" i="3"/>
  <c r="H18" i="3"/>
  <c r="L17" i="3"/>
  <c r="H17" i="3"/>
  <c r="L16" i="3"/>
  <c r="H16" i="3"/>
  <c r="L15" i="3"/>
  <c r="H15" i="3"/>
  <c r="L14" i="3"/>
  <c r="H14" i="3"/>
  <c r="L13" i="3"/>
  <c r="H13" i="3"/>
  <c r="L12" i="3"/>
  <c r="H12" i="3"/>
  <c r="L11" i="3"/>
  <c r="H11" i="3"/>
  <c r="G7" i="3"/>
  <c r="J26" i="2"/>
  <c r="G26" i="2"/>
  <c r="F26" i="2"/>
  <c r="E26" i="2"/>
  <c r="L25" i="2"/>
  <c r="H25" i="2"/>
  <c r="L24" i="2"/>
  <c r="H24" i="2"/>
  <c r="L23" i="2"/>
  <c r="H23" i="2"/>
  <c r="L22" i="2"/>
  <c r="H22" i="2"/>
  <c r="L21" i="2"/>
  <c r="H21" i="2"/>
  <c r="L20" i="2"/>
  <c r="H20" i="2"/>
  <c r="L19" i="2"/>
  <c r="H19" i="2"/>
  <c r="L18" i="2"/>
  <c r="H18" i="2"/>
  <c r="L17" i="2"/>
  <c r="H17" i="2"/>
  <c r="L16" i="2"/>
  <c r="H16" i="2"/>
  <c r="L15" i="2"/>
  <c r="H15" i="2"/>
  <c r="L14" i="2"/>
  <c r="H14" i="2"/>
  <c r="L13" i="2"/>
  <c r="H13" i="2"/>
  <c r="L12" i="2"/>
  <c r="H12" i="2"/>
  <c r="L11" i="2"/>
  <c r="H11" i="2"/>
  <c r="G7" i="2"/>
  <c r="E5" i="9" l="1"/>
  <c r="H26" i="2"/>
  <c r="K11" i="2"/>
  <c r="K12" i="2"/>
  <c r="K13" i="2"/>
  <c r="K14" i="2"/>
  <c r="I14" i="2"/>
  <c r="K15" i="2"/>
  <c r="I15" i="2"/>
  <c r="K16" i="2"/>
  <c r="I16" i="2"/>
  <c r="K17" i="2"/>
  <c r="I17" i="2"/>
  <c r="K18" i="2"/>
  <c r="I18" i="2"/>
  <c r="K19" i="2"/>
  <c r="I19" i="2"/>
  <c r="K20" i="2"/>
  <c r="I20" i="2"/>
  <c r="K21" i="2"/>
  <c r="I21" i="2"/>
  <c r="K22" i="2"/>
  <c r="I22" i="2"/>
  <c r="K23" i="2"/>
  <c r="I23" i="2"/>
  <c r="K24" i="2"/>
  <c r="I24" i="2"/>
  <c r="K25" i="2"/>
  <c r="I25" i="2"/>
  <c r="E6" i="9"/>
  <c r="H26" i="3"/>
  <c r="K11" i="3"/>
  <c r="I11" i="3"/>
  <c r="K12" i="3"/>
  <c r="I12" i="3"/>
  <c r="K13" i="3"/>
  <c r="I13" i="3"/>
  <c r="K14" i="3"/>
  <c r="I14" i="3"/>
  <c r="K15" i="3"/>
  <c r="I15" i="3"/>
  <c r="K16" i="3"/>
  <c r="I16" i="3"/>
  <c r="K17" i="3"/>
  <c r="I17" i="3"/>
  <c r="K18" i="3"/>
  <c r="I18" i="3"/>
  <c r="K19" i="3"/>
  <c r="I19" i="3"/>
  <c r="K20" i="3"/>
  <c r="I20" i="3"/>
  <c r="K21" i="3"/>
  <c r="I21" i="3"/>
  <c r="K22" i="3"/>
  <c r="I22" i="3"/>
  <c r="K23" i="3"/>
  <c r="I23" i="3"/>
  <c r="K24" i="3"/>
  <c r="I24" i="3"/>
  <c r="K25" i="3"/>
  <c r="I25" i="3"/>
  <c r="E7" i="9"/>
  <c r="H26" i="4"/>
  <c r="K11" i="4"/>
  <c r="I11" i="4"/>
  <c r="K12" i="4"/>
  <c r="I12" i="4"/>
  <c r="K13" i="4"/>
  <c r="I13" i="4"/>
  <c r="K14" i="4"/>
  <c r="I14" i="4"/>
  <c r="K15" i="4"/>
  <c r="I15" i="4"/>
  <c r="K16" i="4"/>
  <c r="I16" i="4"/>
  <c r="K17" i="4"/>
  <c r="I17" i="4"/>
  <c r="K18" i="4"/>
  <c r="K19" i="4"/>
  <c r="K20" i="4"/>
  <c r="I20" i="4"/>
  <c r="K21" i="4"/>
  <c r="I21" i="4"/>
  <c r="K22" i="4"/>
  <c r="I22" i="4"/>
  <c r="K23" i="4"/>
  <c r="I23" i="4"/>
  <c r="K24" i="4"/>
  <c r="I24" i="4"/>
  <c r="K25" i="4"/>
  <c r="I25" i="4"/>
  <c r="E8" i="9"/>
  <c r="H26" i="5"/>
  <c r="K11" i="5"/>
  <c r="I11" i="5"/>
  <c r="K12" i="5"/>
  <c r="I12" i="5"/>
  <c r="K13" i="5"/>
  <c r="I13" i="5"/>
  <c r="K14" i="5"/>
  <c r="I14" i="5"/>
  <c r="K15" i="5"/>
  <c r="I15" i="5"/>
  <c r="K16" i="5"/>
  <c r="I16" i="5"/>
  <c r="K17" i="5"/>
  <c r="I17" i="5"/>
  <c r="K18" i="5"/>
  <c r="I18" i="5"/>
  <c r="K19" i="5"/>
  <c r="I19" i="5"/>
  <c r="K20" i="5"/>
  <c r="I20" i="5"/>
  <c r="K21" i="5"/>
  <c r="I21" i="5"/>
  <c r="K22" i="5"/>
  <c r="I22" i="5"/>
  <c r="K23" i="5"/>
  <c r="I23" i="5"/>
  <c r="K24" i="5"/>
  <c r="I24" i="5"/>
  <c r="K25" i="5"/>
  <c r="I25" i="5"/>
  <c r="E9" i="9"/>
  <c r="H26" i="6"/>
  <c r="K11" i="6"/>
  <c r="I11" i="6"/>
  <c r="K12" i="6"/>
  <c r="I12" i="6"/>
  <c r="K13" i="6"/>
  <c r="I13" i="6"/>
  <c r="K14" i="6"/>
  <c r="I14" i="6"/>
  <c r="K15" i="6"/>
  <c r="I15" i="6"/>
  <c r="K16" i="6"/>
  <c r="I16" i="6"/>
  <c r="K17" i="6"/>
  <c r="I17" i="6"/>
  <c r="K18" i="6"/>
  <c r="I18" i="6"/>
  <c r="K19" i="6"/>
  <c r="I19" i="6"/>
  <c r="K20" i="6"/>
  <c r="I20" i="6"/>
  <c r="K21" i="6"/>
  <c r="I21" i="6"/>
  <c r="K22" i="6"/>
  <c r="I22" i="6"/>
  <c r="K23" i="6"/>
  <c r="I23" i="6"/>
  <c r="K24" i="6"/>
  <c r="I24" i="6"/>
  <c r="K25" i="6"/>
  <c r="I25" i="6"/>
  <c r="E10" i="9"/>
  <c r="H26" i="7"/>
  <c r="K11" i="7"/>
  <c r="K12" i="7"/>
  <c r="I12" i="7"/>
  <c r="K13" i="7"/>
  <c r="I13" i="7"/>
  <c r="K14" i="7"/>
  <c r="I14" i="7"/>
  <c r="K15" i="7"/>
  <c r="I15" i="7"/>
  <c r="K16" i="7"/>
  <c r="I16" i="7"/>
  <c r="K17" i="7"/>
  <c r="K18" i="7"/>
  <c r="I18" i="7"/>
  <c r="K19" i="7"/>
  <c r="I19" i="7"/>
  <c r="K20" i="7"/>
  <c r="I20" i="7"/>
  <c r="K21" i="7"/>
  <c r="I21" i="7"/>
  <c r="K22" i="7"/>
  <c r="I22" i="7"/>
  <c r="K23" i="7"/>
  <c r="I23" i="7"/>
  <c r="K24" i="7"/>
  <c r="I24" i="7"/>
  <c r="K25" i="7"/>
  <c r="I25" i="7"/>
  <c r="E11" i="9"/>
  <c r="H21" i="8"/>
  <c r="K11" i="8"/>
  <c r="K12" i="8"/>
  <c r="K13" i="8"/>
  <c r="K14" i="8"/>
  <c r="K15" i="8"/>
  <c r="I15" i="8"/>
  <c r="K16" i="8"/>
  <c r="I16" i="8"/>
  <c r="K17" i="8"/>
  <c r="I17" i="8"/>
  <c r="K18" i="8"/>
  <c r="I18" i="8"/>
  <c r="K19" i="8"/>
  <c r="I19" i="8"/>
  <c r="K20" i="8"/>
  <c r="I20" i="8"/>
  <c r="F11" i="9" l="1"/>
  <c r="I21" i="8"/>
  <c r="I7" i="8"/>
  <c r="F10" i="9"/>
  <c r="I26" i="7"/>
  <c r="I7" i="7"/>
  <c r="F9" i="9"/>
  <c r="I26" i="6"/>
  <c r="I7" i="6"/>
  <c r="F8" i="9"/>
  <c r="I26" i="5"/>
  <c r="I7" i="5"/>
  <c r="F7" i="9"/>
  <c r="I26" i="4"/>
  <c r="I7" i="4"/>
  <c r="F6" i="9"/>
  <c r="I26" i="3"/>
  <c r="I7" i="3"/>
  <c r="F5" i="9"/>
  <c r="F12" i="9" s="1"/>
  <c r="I26" i="2"/>
  <c r="I7" i="2"/>
  <c r="E12" i="9"/>
</calcChain>
</file>

<file path=xl/sharedStrings.xml><?xml version="1.0" encoding="utf-8"?>
<sst xmlns="http://schemas.openxmlformats.org/spreadsheetml/2006/main" count="591" uniqueCount="179">
  <si>
    <t>EMPRESA METROPOLITANA DE TRANSPORTE LA CAROLINA</t>
  </si>
  <si>
    <t>Transporte con corazón · Comité Directivos · 26 de mayo de 2026</t>
  </si>
  <si>
    <t>PLANTILLA DE INICIATIVAS POR DEPARTAMENTO</t>
  </si>
  <si>
    <t>Iniciativas de Ahorro · Ingreso · Mixtas — Una hoja por departamento</t>
  </si>
  <si>
    <t>¿CÓMO USAR ESTE ARCHIVO?</t>
  </si>
  <si>
    <t>1.</t>
  </si>
  <si>
    <t>Cada jefe de departamento abre SU hoja (pestaña con el nombre de su área). Las iniciativas identificadas en la reunión ya están pre-cargadas.</t>
  </si>
  <si>
    <t>2.</t>
  </si>
  <si>
    <t>Llene su nombre y la fecha en el encabezado. Luego complete los montos (pesimista, base, optimista) por iniciativa en las celdas amarillas.</t>
  </si>
  <si>
    <t>3.</t>
  </si>
  <si>
    <t>Puede agregar nuevas iniciativas en las filas vacías al final. Use los menús desplegables para Tipo, Categoría y Estado.</t>
  </si>
  <si>
    <t>4.</t>
  </si>
  <si>
    <t>Las columnas grises (Valor Esperado, Anual, Payback, ROI) se calculan automáticamente.</t>
  </si>
  <si>
    <t>5.</t>
  </si>
  <si>
    <t>Diligencie también: Plan de implementación (hitos), KPIs de seguimiento, Firma.</t>
  </si>
  <si>
    <t>6.</t>
  </si>
  <si>
    <t>La hoja «CONSOLIDADO» suma automáticamente todas las iniciativas de todos los departamentos.</t>
  </si>
  <si>
    <t>7.</t>
  </si>
  <si>
    <t>Entrega: martes 2 de junio de 2026 — 5:00 PM. Presentación 10 min en comité del 9 de junio.</t>
  </si>
  <si>
    <t>8.</t>
  </si>
  <si>
    <t>Anexe cotizaciones, contratos preliminares y referencias (mínimo 3 cotizaciones para cambios de proveedor).</t>
  </si>
  <si>
    <t>CÓDIGOS DE COLOR</t>
  </si>
  <si>
    <t>Llenar</t>
  </si>
  <si>
    <t>Automático</t>
  </si>
  <si>
    <t>Etiqueta</t>
  </si>
  <si>
    <t>Sección</t>
  </si>
  <si>
    <t>DEPARTAMENTOS (HOJAS DISPONIBLES)</t>
  </si>
  <si>
    <t>•</t>
  </si>
  <si>
    <t>Tesorería</t>
  </si>
  <si>
    <t>4 iniciativas pre-cargadas</t>
  </si>
  <si>
    <t>Contabilidad</t>
  </si>
  <si>
    <t>7 iniciativas pre-cargadas</t>
  </si>
  <si>
    <t>Mantenimiento y Compras</t>
  </si>
  <si>
    <t>Operaciones</t>
  </si>
  <si>
    <t>5 iniciativas pre-cargadas</t>
  </si>
  <si>
    <t>Comercial</t>
  </si>
  <si>
    <t>Tecnología (TI)</t>
  </si>
  <si>
    <t>6 iniciativas pre-cargadas</t>
  </si>
  <si>
    <t>Talento Humano</t>
  </si>
  <si>
    <t>TRANSPORTE CON CORAZÓN · Ideas ejecutables · Planes medibles</t>
  </si>
  <si>
    <t>LA CAROLINA · METROPOLITANA DE TRANSPORTE</t>
  </si>
  <si>
    <t>DEPARTAMENTO: TESORERÍA</t>
  </si>
  <si>
    <t>Plantilla de iniciativas de ahorro e ingreso · Comité Directivos · 26 may 2026</t>
  </si>
  <si>
    <t>1. DATOS DEL JEFE Y ENTREGA</t>
  </si>
  <si>
    <t>Jefe responsable</t>
  </si>
  <si>
    <t>Fecha entrega</t>
  </si>
  <si>
    <t># Iniciativas</t>
  </si>
  <si>
    <t>Total ahorro/ingreso anual</t>
  </si>
  <si>
    <t>2. INICIATIVAS · LLENE LAS CELDAS AMARILLAS</t>
  </si>
  <si>
    <t>#</t>
  </si>
  <si>
    <t>Iniciativa</t>
  </si>
  <si>
    <t>Tipo</t>
  </si>
  <si>
    <t>Categoría</t>
  </si>
  <si>
    <t>Pesim. mes</t>
  </si>
  <si>
    <t>Base mes</t>
  </si>
  <si>
    <t>Optim. mes</t>
  </si>
  <si>
    <t>Esperado mes</t>
  </si>
  <si>
    <t>Anual esperado</t>
  </si>
  <si>
    <t>CapEx</t>
  </si>
  <si>
    <t>Payback (m)</t>
  </si>
  <si>
    <t>ROI 12m</t>
  </si>
  <si>
    <t>Estado</t>
  </si>
  <si>
    <t>Notas / Metodología</t>
  </si>
  <si>
    <t>Cambio transportadora a Atlas</t>
  </si>
  <si>
    <t>AHORRO</t>
  </si>
  <si>
    <t>Cambio proveedor</t>
  </si>
  <si>
    <t>Confirmado</t>
  </si>
  <si>
    <t xml:space="preserve"> Comisión ACH (BBVA → Banco Bogotá) disminucion 70%</t>
  </si>
  <si>
    <t>Renegociación proveedor</t>
  </si>
  <si>
    <t>Optimización GMF (4×1000 → 2×1000)</t>
  </si>
  <si>
    <t>Digitalización de informes de afiliados — firma digital y trazabilidad</t>
  </si>
  <si>
    <t>Digitalización</t>
  </si>
  <si>
    <t>En curso</t>
  </si>
  <si>
    <t>TOTAL DEPARTAMENTO</t>
  </si>
  <si>
    <t>3. PLAN DE IMPLEMENTACIÓN · HITOS PRINCIPALES</t>
  </si>
  <si>
    <t>Hito / acción</t>
  </si>
  <si>
    <t>Responsable</t>
  </si>
  <si>
    <t>Fecha objetivo</t>
  </si>
  <si>
    <t>4. KPIs DE SEGUIMIENTO MENSUAL</t>
  </si>
  <si>
    <t>KPI</t>
  </si>
  <si>
    <t>Línea base</t>
  </si>
  <si>
    <t>Meta mensual</t>
  </si>
  <si>
    <t>Frecuencia</t>
  </si>
  <si>
    <t>Accidentalidad (eventos/mes)</t>
  </si>
  <si>
    <t>Mensual</t>
  </si>
  <si>
    <t>Rotación de personal</t>
  </si>
  <si>
    <t>Ausentismo de conductores</t>
  </si>
  <si>
    <t>Conductores tarde</t>
  </si>
  <si>
    <t>Ahorro materializado vs. proyectado</t>
  </si>
  <si>
    <t>5. COMPROMISO Y FIRMA</t>
  </si>
  <si>
    <t>Yo, jefe de Tesorería, me comprometo a ejecutar las iniciativas descritas, reportar avances en cada comité directivo y materializar el ahorro/ingreso proyectado durante el año fiscal 2026.</t>
  </si>
  <si>
    <t>Firma Jefe de Departamento</t>
  </si>
  <si>
    <t>Aprobado Dirección General — Liliana Anaya CEO</t>
  </si>
  <si>
    <t>DEPARTAMENTO: CONTABILIDAD</t>
  </si>
  <si>
    <t>Ahorro porcentual en impuestos — revisión software contable y tributario</t>
  </si>
  <si>
    <t>Optimización proceso</t>
  </si>
  <si>
    <t>Análisis</t>
  </si>
  <si>
    <t>Reducción consumo de papel + digitalización archivo muerto</t>
  </si>
  <si>
    <t>Implementación de firma digital corporativa</t>
  </si>
  <si>
    <t>Propuesta</t>
  </si>
  <si>
    <t>Beneficios tributarios autos a GAS (IVA, retención, renta) — Edith</t>
  </si>
  <si>
    <t>Reducción de horas extras (operativo y mantenimiento)</t>
  </si>
  <si>
    <t>En análisis</t>
  </si>
  <si>
    <t>Revisión horas sábados — anticipación reducción jornada (Jorge, John, Edith)</t>
  </si>
  <si>
    <t>Migración a facturación electrónica gratuita DIAN</t>
  </si>
  <si>
    <t>Yo, jefe de Contabilidad, me comprometo a ejecutar las iniciativas descritas, reportar avances en cada comité directivo y materializar el ahorro/ingreso proyectado durante el año fiscal 2026.</t>
  </si>
  <si>
    <t>DEPARTAMENTO: MANTENIMIENTO Y COMPRAS</t>
  </si>
  <si>
    <t>Reducción consolidada de repuestos (34.5% vs. 2026)</t>
  </si>
  <si>
    <t>Materializado</t>
  </si>
  <si>
    <t>Sistema de inyección — ahorro acumulado</t>
  </si>
  <si>
    <t>Alternadores — de $780k a $250k (18 unidades)</t>
  </si>
  <si>
    <t>Renegociación proveedores — metodología mínimo 3 cotizaciones</t>
  </si>
  <si>
    <t>Mejoramiento / reducción de horas extras del área</t>
  </si>
  <si>
    <t>Plan renovación de celulares y equipos — listado activos + renegociación (Helmut/Cindy)</t>
  </si>
  <si>
    <t>Tecnología</t>
  </si>
  <si>
    <t>Por desarrollar</t>
  </si>
  <si>
    <t>Aplicativo de alertas de repuestos repetitivos</t>
  </si>
  <si>
    <t>Urea automotriz de $6341 a $3900</t>
  </si>
  <si>
    <t>CAMBIO DE MODELO</t>
  </si>
  <si>
    <t>Valor referencia DIESEL hoy $11251</t>
  </si>
  <si>
    <t>Yo, jefe de Mantenimiento y Compras, me comprometo a ejecutar las iniciativas descritas, reportar avances en cada comité directivo y materializar el ahorro/ingreso proyectado durante el año fiscal 2026.</t>
  </si>
  <si>
    <t>DEPARTAMENTO: OPERACIONES</t>
  </si>
  <si>
    <t>Proyecto Helmut — ahorro combustible y optimización de rutas (entrega 9 jun)</t>
  </si>
  <si>
    <t>MIXTA</t>
  </si>
  <si>
    <t>Piloto Miramar — 48-50 vehículos, 3 viajes/vehículo, frecuencia 4-5 min</t>
  </si>
  <si>
    <t>Diseño</t>
  </si>
  <si>
    <t>Plan de operaciones — mejoramiento del servicio (puntualidad, UX, seguridad)</t>
  </si>
  <si>
    <t>INGRESO</t>
  </si>
  <si>
    <t>Nueva fuente ingreso</t>
  </si>
  <si>
    <t>Ruta Alameda-circunvalar-cra 38-centro — gestión Área Metropolitana (Dr. Fabio)</t>
  </si>
  <si>
    <t>Gestión</t>
  </si>
  <si>
    <t>Incremento de usuarios — segmentos universidad/hospital · app Buzii</t>
  </si>
  <si>
    <t>Yo, jefe de Operaciones, me comprometo a ejecutar las iniciativas descritas, reportar avances en cada comité directivo y materializar el ahorro/ingreso proyectado durante el año fiscal 2026.</t>
  </si>
  <si>
    <t>DEPARTAMENTO: COMERCIAL</t>
  </si>
  <si>
    <t>Publimedios — pantallas publicitarias en buses (piloto 2 MS + 2 fotón)</t>
  </si>
  <si>
    <t>Piloto</t>
  </si>
  <si>
    <t>Servicios B2B / Corporativos — escolar, eventos, EPS/ARL</t>
  </si>
  <si>
    <t>B2B / Corporativo</t>
  </si>
  <si>
    <t>Monetización redes Instagram/Facebook (Cámara de Comercio completada)</t>
  </si>
  <si>
    <t>Monetización activos</t>
  </si>
  <si>
    <t>Negociar con Ismael — mitad posts por mitad precio</t>
  </si>
  <si>
    <t>Almacén de repuestos · pan de bonos · aerobuses · alianzas</t>
  </si>
  <si>
    <t>Yo, jefe de Comercial, me comprometo a ejecutar las iniciativas descritas, reportar avances en cada comité directivo y materializar el ahorro/ingreso proyectado durante el año fiscal 2026.</t>
  </si>
  <si>
    <t>DEPARTAMENTO: TECNOLOGÍA (TI)</t>
  </si>
  <si>
    <t>Renegociar LM Solución — objetivo ahorro 20-30% (gasto ~$128M/año)</t>
  </si>
  <si>
    <t>Negociación</t>
  </si>
  <si>
    <t>Varia la cotizacion debido a que ellos no colocan el gps</t>
  </si>
  <si>
    <t>Plan repotenciación de equipos (vida útil +2-3 años, ahorro 15-20%)</t>
  </si>
  <si>
    <t>En Revision Debido a verificacio de repotenciacion de equipos y años de usoso posibles y tecnologia actual</t>
  </si>
  <si>
    <t>Aplicativo de alertas de repuestos repetitivos (con Mantenimiento)</t>
  </si>
  <si>
    <t>Plan SAAS</t>
  </si>
  <si>
    <t>Plataforma de control interno Carolina S.A.S — repositorio + anotaciones + data</t>
  </si>
  <si>
    <t>App Carolina S.A.S — reporte taller + accidentalidad (piloto 8 días)</t>
  </si>
  <si>
    <t>Automatización WhatsApp con app Víctor (~$0.03 USD/conexión)</t>
  </si>
  <si>
    <t>Gestion Llantas Pro (Control interno)</t>
  </si>
  <si>
    <t>Implementado apartir de abril del 2026</t>
  </si>
  <si>
    <t>Yo, jefe de Tecnología (TI), me comprometo a ejecutar las iniciativas descritas, reportar avances en cada comité directivo y materializar el ahorro/ingreso proyectado durante el año fiscal 2026.</t>
  </si>
  <si>
    <t>DEPARTAMENTO: TALENTO HUMANO</t>
  </si>
  <si>
    <t>Cambio proveedor polígrafo (Comfamiliar más económico)</t>
  </si>
  <si>
    <t>Reducción consumo</t>
  </si>
  <si>
    <t xml:space="preserve">Con base en el promedio calculado de 3,67 poligrafias/mes:
Mensual: 3,67 × $120.000 = $440.000
Anual: $440.000 × 12 = $5.280.000
</t>
  </si>
  <si>
    <t>Reubicación de aprendices para reemplazar cargos fijos</t>
  </si>
  <si>
    <t>el aprendiz puede reemplazar un cargo fijo que se pueda realizar cada 6 meses con rotacion de aprendices</t>
  </si>
  <si>
    <t>Reducción de actividades de bienestar: 
DÍA DEL PADRE
DÍA DE AMOR Y AMISTAD
ENTREGA DE OBSEQUIOS FIN DE AÑO (HIJOS) 
NOVENA NAVIDEÑA 
INTEGRACIÓN ADMINISTRATIVA FIN DE AÑO</t>
  </si>
  <si>
    <t>Promedio por mes $2.783.333
correspondiente a los 6 meses que faltan del año 
DÍA DEL PADRE: $2.500.000
DÍA DE AMOR Y AMISTAD: $3.000.000
ENTREGA DE OBSEQUIOS FIN DE AÑO (HIJOS): $4.000.000
NOVENA NAVIDEÑA: $2.700.000
INTEGRACIÓN ADMINISTRATIVA FIN DE AÑO $4.500.000</t>
  </si>
  <si>
    <t>RECUPERACION EN EXAMENES MEDICOS DE INGRESO</t>
  </si>
  <si>
    <t>PROMEDIO MENSUAL DE INGRESOS POR MES (14) SEGUN LOS ULTIMOS 7 MESES</t>
  </si>
  <si>
    <t>Yo, jefe de Talento Humano, me comprometo a ejecutar las iniciativas descritas, reportar avances en cada comité directivo y materializar el ahorro/ingreso proyectado durante el año fiscal 2026.</t>
  </si>
  <si>
    <t>CONSOLIDADO POR DEPARTAMENTO · LA CAROLINA 2026</t>
  </si>
  <si>
    <t>Vista para Dirección General · Cifras se actualizan automáticamente al diligenciar cada hoja</t>
  </si>
  <si>
    <t>DEPARTAMENTO</t>
  </si>
  <si>
    <t>JEFE RESPONSABLE</t>
  </si>
  <si>
    <t># INICIATIVAS</t>
  </si>
  <si>
    <t>AHORRO/INGRESO MES</t>
  </si>
  <si>
    <t>ANUAL ESPERADO</t>
  </si>
  <si>
    <t>CAPEX TOTAL</t>
  </si>
  <si>
    <t>ESTADO</t>
  </si>
  <si>
    <t>TOTAL CONSOLIDADO LA CAROLINA</t>
  </si>
  <si>
    <t>TRANSPORTE CON CORAZÓN · Movemos el progreso de 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</si>
</sst>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16">
    <font>
      <sz val="11"/>
      <color theme="1"/>
      <name val="Calibri"/>
      <family val="2"/>
      <charset val="1"/>
    </font>
    <font>
      <b/>
      <sz val="12"/>
      <color rgb="FFC22219"/>
      <name val="Arial"/>
      <charset val="1"/>
    </font>
    <font>
      <i/>
      <sz val="10"/>
      <color rgb="FF222222"/>
      <name val="Arial"/>
      <charset val="1"/>
    </font>
    <font>
      <b/>
      <sz val="20"/>
      <color rgb="FF222222"/>
      <name val="Arial Black"/>
      <charset val="1"/>
    </font>
    <font>
      <b/>
      <sz val="12"/>
      <color rgb="FFFFFFFF"/>
      <name val="Arial Black"/>
      <charset val="1"/>
    </font>
    <font>
      <b/>
      <sz val="12"/>
      <color rgb="FFC22219"/>
      <name val="Arial Black"/>
      <charset val="1"/>
    </font>
    <font>
      <sz val="10"/>
      <color rgb="FF222222"/>
      <name val="Arial"/>
      <charset val="1"/>
    </font>
    <font>
      <b/>
      <sz val="10"/>
      <color rgb="FF222222"/>
      <name val="Arial"/>
      <charset val="1"/>
    </font>
    <font>
      <b/>
      <sz val="14"/>
      <color rgb="FFC22219"/>
      <name val="Arial Black"/>
      <charset val="1"/>
    </font>
    <font>
      <i/>
      <sz val="10"/>
      <color rgb="FF666666"/>
      <name val="Arial"/>
      <charset val="1"/>
    </font>
    <font>
      <b/>
      <sz val="11"/>
      <color rgb="FFC22219"/>
      <name val="Arial Black"/>
      <charset val="1"/>
    </font>
    <font>
      <b/>
      <sz val="10"/>
      <color rgb="FFC22219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 Black"/>
      <charset val="1"/>
    </font>
    <font>
      <sz val="10"/>
      <color rgb="FF222222"/>
      <name val="Arial"/>
    </font>
  </fonts>
  <fills count="7">
    <fill>
      <patternFill patternType="none"/>
    </fill>
    <fill>
      <patternFill patternType="gray125"/>
    </fill>
    <fill>
      <patternFill patternType="solid">
        <fgColor rgb="FFDCBE61"/>
        <bgColor rgb="FFBFBFBF"/>
      </patternFill>
    </fill>
    <fill>
      <patternFill patternType="solid">
        <fgColor rgb="FFC22219"/>
        <bgColor rgb="FF993366"/>
      </patternFill>
    </fill>
    <fill>
      <patternFill patternType="solid">
        <fgColor rgb="FF222222"/>
        <bgColor rgb="FF333300"/>
      </patternFill>
    </fill>
    <fill>
      <patternFill patternType="solid">
        <fgColor rgb="FFFFF9D4"/>
        <bgColor rgb="FFF4F1E8"/>
      </patternFill>
    </fill>
    <fill>
      <patternFill patternType="solid">
        <fgColor rgb="FFF4F1E8"/>
        <bgColor rgb="FFFFF9D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222222"/>
      </top>
      <bottom/>
      <diagonal/>
    </border>
    <border>
      <left style="medium">
        <color rgb="FF222222"/>
      </left>
      <right style="medium">
        <color rgb="FF222222"/>
      </right>
      <top style="medium">
        <color rgb="FF222222"/>
      </top>
      <bottom style="medium">
        <color rgb="FF222222"/>
      </bottom>
      <diagonal/>
    </border>
    <border>
      <left/>
      <right/>
      <top/>
      <bottom style="medium">
        <color rgb="FF22222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top"/>
    </xf>
    <xf numFmtId="0" fontId="0" fillId="5" borderId="1" xfId="0" applyFill="1" applyBorder="1"/>
    <xf numFmtId="0" fontId="7" fillId="0" borderId="0" xfId="0" applyFont="1"/>
    <xf numFmtId="0" fontId="0" fillId="6" borderId="1" xfId="0" applyFill="1" applyBorder="1"/>
    <xf numFmtId="0" fontId="0" fillId="2" borderId="1" xfId="0" applyFill="1" applyBorder="1"/>
    <xf numFmtId="0" fontId="0" fillId="3" borderId="1" xfId="0" applyFill="1" applyBorder="1"/>
    <xf numFmtId="0" fontId="8" fillId="0" borderId="0" xfId="0" applyFont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right" vertical="center" wrapText="1"/>
    </xf>
    <xf numFmtId="164" fontId="6" fillId="6" borderId="1" xfId="0" applyNumberFormat="1" applyFont="1" applyFill="1" applyBorder="1" applyAlignment="1">
      <alignment horizontal="right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right" vertical="center" wrapText="1"/>
    </xf>
    <xf numFmtId="0" fontId="0" fillId="4" borderId="3" xfId="0" applyFill="1" applyBorder="1"/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 wrapText="1"/>
    </xf>
    <xf numFmtId="164" fontId="15" fillId="6" borderId="1" xfId="0" applyNumberFormat="1" applyFont="1" applyFill="1" applyBorder="1" applyAlignment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4" fontId="12" fillId="5" borderId="1" xfId="0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4" fontId="12" fillId="5" borderId="1" xfId="0" applyNumberFormat="1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9" fillId="0" borderId="0" xfId="0" applyFont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4"/>
      <rgbColor rgb="FFF4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CBE61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22219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4"/>
  <sheetViews>
    <sheetView showGridLines="0" topLeftCell="A8" zoomScaleNormal="100" workbookViewId="0">
      <selection activeCell="C32" sqref="C32:E32"/>
    </sheetView>
  </sheetViews>
  <sheetFormatPr defaultColWidth="8.7109375" defaultRowHeight="15"/>
  <cols>
    <col min="1" max="1" width="4" customWidth="1"/>
    <col min="2" max="7" width="18" customWidth="1"/>
    <col min="8" max="8" width="4" customWidth="1"/>
  </cols>
  <sheetData>
    <row r="2" spans="2:7" ht="21.75" customHeight="1">
      <c r="B2" s="43" t="s">
        <v>0</v>
      </c>
      <c r="C2" s="43"/>
      <c r="D2" s="43"/>
      <c r="E2" s="43"/>
      <c r="F2" s="43"/>
      <c r="G2" s="43"/>
    </row>
    <row r="3" spans="2:7" ht="15" customHeight="1">
      <c r="B3" s="39" t="s">
        <v>1</v>
      </c>
      <c r="C3" s="39"/>
      <c r="D3" s="39"/>
      <c r="E3" s="39"/>
      <c r="F3" s="39"/>
      <c r="G3" s="39"/>
    </row>
    <row r="5" spans="2:7" ht="36" customHeight="1">
      <c r="B5" s="38" t="s">
        <v>2</v>
      </c>
      <c r="C5" s="38"/>
      <c r="D5" s="38"/>
      <c r="E5" s="38"/>
      <c r="F5" s="38"/>
      <c r="G5" s="38"/>
    </row>
    <row r="6" spans="2:7" ht="21.75" customHeight="1">
      <c r="B6" s="43" t="s">
        <v>3</v>
      </c>
      <c r="C6" s="43"/>
      <c r="D6" s="43"/>
      <c r="E6" s="43"/>
      <c r="F6" s="43"/>
      <c r="G6" s="43"/>
    </row>
    <row r="8" spans="2:7" ht="25.5" customHeight="1">
      <c r="B8" s="26" t="s">
        <v>4</v>
      </c>
      <c r="C8" s="26"/>
      <c r="D8" s="26"/>
      <c r="E8" s="26"/>
      <c r="F8" s="26"/>
      <c r="G8" s="26"/>
    </row>
    <row r="10" spans="2:7" ht="31.5" customHeight="1">
      <c r="B10" s="3" t="s">
        <v>5</v>
      </c>
      <c r="C10" s="41" t="s">
        <v>6</v>
      </c>
      <c r="D10" s="41"/>
      <c r="E10" s="41"/>
      <c r="F10" s="41"/>
      <c r="G10" s="41"/>
    </row>
    <row r="11" spans="2:7" ht="31.5" customHeight="1">
      <c r="B11" s="3" t="s">
        <v>7</v>
      </c>
      <c r="C11" s="41" t="s">
        <v>8</v>
      </c>
      <c r="D11" s="41"/>
      <c r="E11" s="41"/>
      <c r="F11" s="41"/>
      <c r="G11" s="41"/>
    </row>
    <row r="12" spans="2:7" ht="31.5" customHeight="1">
      <c r="B12" s="3" t="s">
        <v>9</v>
      </c>
      <c r="C12" s="41" t="s">
        <v>10</v>
      </c>
      <c r="D12" s="41"/>
      <c r="E12" s="41"/>
      <c r="F12" s="41"/>
      <c r="G12" s="41"/>
    </row>
    <row r="13" spans="2:7" ht="31.5" customHeight="1">
      <c r="B13" s="3" t="s">
        <v>11</v>
      </c>
      <c r="C13" s="41" t="s">
        <v>12</v>
      </c>
      <c r="D13" s="41"/>
      <c r="E13" s="41"/>
      <c r="F13" s="41"/>
      <c r="G13" s="41"/>
    </row>
    <row r="14" spans="2:7" ht="31.5" customHeight="1">
      <c r="B14" s="3" t="s">
        <v>13</v>
      </c>
      <c r="C14" s="41" t="s">
        <v>14</v>
      </c>
      <c r="D14" s="41"/>
      <c r="E14" s="41"/>
      <c r="F14" s="41"/>
      <c r="G14" s="41"/>
    </row>
    <row r="15" spans="2:7" ht="31.5" customHeight="1">
      <c r="B15" s="3" t="s">
        <v>15</v>
      </c>
      <c r="C15" s="41" t="s">
        <v>16</v>
      </c>
      <c r="D15" s="41"/>
      <c r="E15" s="41"/>
      <c r="F15" s="41"/>
      <c r="G15" s="41"/>
    </row>
    <row r="16" spans="2:7" ht="31.5" customHeight="1">
      <c r="B16" s="3" t="s">
        <v>17</v>
      </c>
      <c r="C16" s="41" t="s">
        <v>18</v>
      </c>
      <c r="D16" s="41"/>
      <c r="E16" s="41"/>
      <c r="F16" s="41"/>
      <c r="G16" s="41"/>
    </row>
    <row r="17" spans="2:7" ht="31.5" customHeight="1">
      <c r="B17" s="3" t="s">
        <v>19</v>
      </c>
      <c r="C17" s="41" t="s">
        <v>20</v>
      </c>
      <c r="D17" s="41"/>
      <c r="E17" s="41"/>
      <c r="F17" s="41"/>
      <c r="G17" s="41"/>
    </row>
    <row r="19" spans="2:7" ht="24" customHeight="1">
      <c r="B19" s="42" t="s">
        <v>21</v>
      </c>
      <c r="C19" s="42"/>
      <c r="D19" s="42"/>
      <c r="E19" s="42"/>
      <c r="F19" s="42"/>
      <c r="G19" s="42"/>
    </row>
    <row r="20" spans="2:7">
      <c r="B20" s="4"/>
      <c r="C20" s="5" t="s">
        <v>22</v>
      </c>
    </row>
    <row r="21" spans="2:7">
      <c r="B21" s="6"/>
      <c r="C21" s="5" t="s">
        <v>23</v>
      </c>
    </row>
    <row r="22" spans="2:7">
      <c r="B22" s="7"/>
      <c r="C22" s="5" t="s">
        <v>24</v>
      </c>
    </row>
    <row r="23" spans="2:7">
      <c r="B23" s="8"/>
      <c r="C23" s="5" t="s">
        <v>25</v>
      </c>
    </row>
    <row r="25" spans="2:7" ht="24" customHeight="1">
      <c r="B25" s="26" t="s">
        <v>26</v>
      </c>
      <c r="C25" s="26"/>
      <c r="D25" s="26"/>
      <c r="E25" s="26"/>
      <c r="F25" s="26"/>
      <c r="G25" s="26"/>
    </row>
    <row r="26" spans="2:7" ht="19.5" customHeight="1">
      <c r="B26" s="9" t="s">
        <v>27</v>
      </c>
      <c r="C26" s="45" t="s">
        <v>28</v>
      </c>
      <c r="D26" s="45"/>
      <c r="E26" s="45"/>
      <c r="F26" s="46" t="s">
        <v>29</v>
      </c>
      <c r="G26" s="46"/>
    </row>
    <row r="27" spans="2:7" ht="19.5" customHeight="1">
      <c r="B27" s="9" t="s">
        <v>27</v>
      </c>
      <c r="C27" s="45" t="s">
        <v>30</v>
      </c>
      <c r="D27" s="45"/>
      <c r="E27" s="45"/>
      <c r="F27" s="46" t="s">
        <v>31</v>
      </c>
      <c r="G27" s="46"/>
    </row>
    <row r="28" spans="2:7" ht="19.5" customHeight="1">
      <c r="B28" s="9" t="s">
        <v>27</v>
      </c>
      <c r="C28" s="45" t="s">
        <v>32</v>
      </c>
      <c r="D28" s="45"/>
      <c r="E28" s="45"/>
      <c r="F28" s="46" t="s">
        <v>31</v>
      </c>
      <c r="G28" s="46"/>
    </row>
    <row r="29" spans="2:7" ht="19.5" customHeight="1">
      <c r="B29" s="9" t="s">
        <v>27</v>
      </c>
      <c r="C29" s="45" t="s">
        <v>33</v>
      </c>
      <c r="D29" s="45"/>
      <c r="E29" s="45"/>
      <c r="F29" s="46" t="s">
        <v>34</v>
      </c>
      <c r="G29" s="46"/>
    </row>
    <row r="30" spans="2:7" ht="19.5" customHeight="1">
      <c r="B30" s="9" t="s">
        <v>27</v>
      </c>
      <c r="C30" s="45" t="s">
        <v>35</v>
      </c>
      <c r="D30" s="45"/>
      <c r="E30" s="45"/>
      <c r="F30" s="46" t="s">
        <v>34</v>
      </c>
      <c r="G30" s="46"/>
    </row>
    <row r="31" spans="2:7" ht="19.5" customHeight="1">
      <c r="B31" s="9" t="s">
        <v>27</v>
      </c>
      <c r="C31" s="45" t="s">
        <v>36</v>
      </c>
      <c r="D31" s="45"/>
      <c r="E31" s="45"/>
      <c r="F31" s="46" t="s">
        <v>37</v>
      </c>
      <c r="G31" s="46"/>
    </row>
    <row r="32" spans="2:7" ht="19.5" customHeight="1">
      <c r="B32" s="9" t="s">
        <v>27</v>
      </c>
      <c r="C32" s="45" t="s">
        <v>38</v>
      </c>
      <c r="D32" s="45"/>
      <c r="E32" s="45"/>
      <c r="F32" s="46" t="s">
        <v>31</v>
      </c>
      <c r="G32" s="46"/>
    </row>
    <row r="34" spans="2:7" ht="24" customHeight="1">
      <c r="B34" s="25" t="s">
        <v>39</v>
      </c>
      <c r="C34" s="25"/>
      <c r="D34" s="25"/>
      <c r="E34" s="25"/>
      <c r="F34" s="25"/>
      <c r="G34" s="25"/>
    </row>
  </sheetData>
  <mergeCells count="30">
    <mergeCell ref="B2:G2"/>
    <mergeCell ref="B3:G3"/>
    <mergeCell ref="B5:G5"/>
    <mergeCell ref="B6:G6"/>
    <mergeCell ref="B8:G8"/>
    <mergeCell ref="C10:G10"/>
    <mergeCell ref="C11:G11"/>
    <mergeCell ref="C12:G12"/>
    <mergeCell ref="C13:G13"/>
    <mergeCell ref="C14:G14"/>
    <mergeCell ref="C15:G15"/>
    <mergeCell ref="C16:G16"/>
    <mergeCell ref="C17:G17"/>
    <mergeCell ref="B19:G19"/>
    <mergeCell ref="B25:G25"/>
    <mergeCell ref="C26:E26"/>
    <mergeCell ref="F26:G26"/>
    <mergeCell ref="C27:E27"/>
    <mergeCell ref="F27:G27"/>
    <mergeCell ref="C28:E28"/>
    <mergeCell ref="F28:G28"/>
    <mergeCell ref="C32:E32"/>
    <mergeCell ref="F32:G32"/>
    <mergeCell ref="B34:G34"/>
    <mergeCell ref="C29:E29"/>
    <mergeCell ref="F29:G29"/>
    <mergeCell ref="C30:E30"/>
    <mergeCell ref="F30:G30"/>
    <mergeCell ref="C31:E31"/>
    <mergeCell ref="F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"/>
  <sheetViews>
    <sheetView showGridLines="0" tabSelected="1" topLeftCell="A7" zoomScaleNormal="100" workbookViewId="0">
      <selection activeCell="I14" sqref="I14"/>
    </sheetView>
  </sheetViews>
  <sheetFormatPr defaultColWidth="8.7109375" defaultRowHeight="15"/>
  <cols>
    <col min="1" max="1" width="4" customWidth="1"/>
    <col min="2" max="2" width="36" customWidth="1"/>
    <col min="3" max="3" width="10" customWidth="1"/>
    <col min="4" max="4" width="16" customWidth="1"/>
    <col min="5" max="8" width="12" customWidth="1"/>
    <col min="9" max="9" width="13" customWidth="1"/>
    <col min="10" max="10" width="11" customWidth="1"/>
    <col min="11" max="12" width="9" customWidth="1"/>
    <col min="13" max="13" width="13" customWidth="1"/>
    <col min="14" max="14" width="22" customWidth="1"/>
  </cols>
  <sheetData>
    <row r="1" spans="1:14" ht="18" customHeight="1">
      <c r="A1" s="37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31.5" customHeight="1">
      <c r="A2" s="38" t="s">
        <v>41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" customHeight="1">
      <c r="A3" s="39" t="s">
        <v>42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spans="1:14" ht="24" customHeight="1">
      <c r="A5" s="26" t="s">
        <v>43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21.75" customHeight="1">
      <c r="A6" s="40" t="s">
        <v>44</v>
      </c>
      <c r="B6" s="40"/>
      <c r="C6" s="40"/>
      <c r="D6" s="40" t="s">
        <v>45</v>
      </c>
      <c r="E6" s="40"/>
      <c r="F6" s="40"/>
      <c r="G6" s="40" t="s">
        <v>46</v>
      </c>
      <c r="H6" s="40"/>
      <c r="I6" s="40" t="s">
        <v>47</v>
      </c>
      <c r="J6" s="40"/>
      <c r="K6" s="40"/>
    </row>
    <row r="7" spans="1:14" ht="24" customHeight="1">
      <c r="A7" s="29"/>
      <c r="B7" s="29"/>
      <c r="C7" s="29"/>
      <c r="D7" s="34"/>
      <c r="E7" s="34"/>
      <c r="F7" s="34"/>
      <c r="G7" s="35">
        <f>COUNTA(B11:B25)</f>
        <v>4</v>
      </c>
      <c r="H7" s="35"/>
      <c r="I7" s="36">
        <f>SUM(I11:I25)</f>
        <v>38374000</v>
      </c>
      <c r="J7" s="36"/>
      <c r="K7" s="36"/>
    </row>
    <row r="9" spans="1:14" ht="24" customHeight="1">
      <c r="A9" s="26" t="s">
        <v>48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31.5" customHeight="1">
      <c r="A10" s="11" t="s">
        <v>49</v>
      </c>
      <c r="B10" s="11" t="s">
        <v>50</v>
      </c>
      <c r="C10" s="11" t="s">
        <v>51</v>
      </c>
      <c r="D10" s="11" t="s">
        <v>52</v>
      </c>
      <c r="E10" s="11" t="s">
        <v>53</v>
      </c>
      <c r="F10" s="11" t="s">
        <v>54</v>
      </c>
      <c r="G10" s="11" t="s">
        <v>55</v>
      </c>
      <c r="H10" s="11" t="s">
        <v>56</v>
      </c>
      <c r="I10" s="11" t="s">
        <v>57</v>
      </c>
      <c r="J10" s="11" t="s">
        <v>58</v>
      </c>
      <c r="K10" s="11" t="s">
        <v>59</v>
      </c>
      <c r="L10" s="11" t="s">
        <v>60</v>
      </c>
      <c r="M10" s="11" t="s">
        <v>61</v>
      </c>
      <c r="N10" s="11" t="s">
        <v>62</v>
      </c>
    </row>
    <row r="11" spans="1:14" ht="36" customHeight="1">
      <c r="A11" s="12">
        <v>1</v>
      </c>
      <c r="B11" s="2" t="s">
        <v>63</v>
      </c>
      <c r="C11" s="13" t="s">
        <v>64</v>
      </c>
      <c r="D11" s="2" t="s">
        <v>65</v>
      </c>
      <c r="E11" s="14">
        <v>3590000</v>
      </c>
      <c r="F11" s="14">
        <v>3590000</v>
      </c>
      <c r="G11" s="14">
        <v>3590000</v>
      </c>
      <c r="H11" s="15">
        <f>IFERROR(IF(OR(E11="",F11="",G11=""),0,ROUND((E11+4*F11+G11)/6,0)),0)</f>
        <v>3590000</v>
      </c>
      <c r="I11" s="10">
        <f>H11*7</f>
        <v>25130000</v>
      </c>
      <c r="J11" s="14"/>
      <c r="K11" s="1" t="str">
        <f>IFERROR(IF(AND(H11&gt;0,J11&gt;0),ROUND(J11/H11,1),"-"),"-")</f>
        <v>-</v>
      </c>
      <c r="L11" s="16" t="str">
        <f>IFERROR(IF(J11&gt;0,(I11-J11)/J11,""),"")</f>
        <v/>
      </c>
      <c r="M11" s="13" t="s">
        <v>66</v>
      </c>
      <c r="N11" s="2"/>
    </row>
    <row r="12" spans="1:14" ht="36" customHeight="1">
      <c r="A12" s="12">
        <v>2</v>
      </c>
      <c r="B12" s="2" t="s">
        <v>67</v>
      </c>
      <c r="C12" s="13" t="s">
        <v>64</v>
      </c>
      <c r="D12" s="2" t="s">
        <v>68</v>
      </c>
      <c r="E12" s="14">
        <v>772000</v>
      </c>
      <c r="F12" s="14">
        <v>772000</v>
      </c>
      <c r="G12" s="14">
        <v>772000</v>
      </c>
      <c r="H12" s="15">
        <f>IFERROR(IF(OR(E12="",F12="",G12=""),0,ROUND((E12+4*F12+G12)/6,0)),0)</f>
        <v>772000</v>
      </c>
      <c r="I12" s="10">
        <f t="shared" ref="I12:I13" si="0">H12*7</f>
        <v>5404000</v>
      </c>
      <c r="J12" s="14"/>
      <c r="K12" s="1" t="str">
        <f>IFERROR(IF(AND(H12&gt;0,J12&gt;0),ROUND(J12/H12,1),"-"),"-")</f>
        <v>-</v>
      </c>
      <c r="L12" s="16" t="str">
        <f>IFERROR(IF(J12&gt;0,(I12-J12)/J12,""),"")</f>
        <v/>
      </c>
      <c r="M12" s="13" t="s">
        <v>66</v>
      </c>
      <c r="N12" s="2"/>
    </row>
    <row r="13" spans="1:14" ht="36" customHeight="1">
      <c r="A13" s="12">
        <v>3</v>
      </c>
      <c r="B13" s="2" t="s">
        <v>69</v>
      </c>
      <c r="C13" s="13" t="s">
        <v>64</v>
      </c>
      <c r="D13" s="2" t="s">
        <v>68</v>
      </c>
      <c r="E13" s="14">
        <v>1120000</v>
      </c>
      <c r="F13" s="14">
        <v>1120000</v>
      </c>
      <c r="G13" s="14">
        <v>1120000</v>
      </c>
      <c r="H13" s="15">
        <f>IFERROR(IF(OR(E13="",F13="",G13=""),0,ROUND((E13+4*F13+G13)/6,0)),0)</f>
        <v>1120000</v>
      </c>
      <c r="I13" s="10">
        <f>H13*7</f>
        <v>7840000</v>
      </c>
      <c r="J13" s="14"/>
      <c r="K13" s="1" t="str">
        <f>IFERROR(IF(AND(H13&gt;0,J13&gt;0),ROUND(J13/H13,1),"-"),"-")</f>
        <v>-</v>
      </c>
      <c r="L13" s="16" t="str">
        <f>IFERROR(IF(J13&gt;0,(I13-J13)/J13,""),"")</f>
        <v/>
      </c>
      <c r="M13" s="13" t="s">
        <v>66</v>
      </c>
      <c r="N13" s="2"/>
    </row>
    <row r="14" spans="1:14" ht="36" customHeight="1">
      <c r="A14" s="12">
        <v>4</v>
      </c>
      <c r="B14" s="2" t="s">
        <v>70</v>
      </c>
      <c r="C14" s="13" t="s">
        <v>64</v>
      </c>
      <c r="D14" s="2" t="s">
        <v>71</v>
      </c>
      <c r="E14" s="14"/>
      <c r="F14" s="14"/>
      <c r="G14" s="14"/>
      <c r="H14" s="15">
        <f>IFERROR(IF(OR(E14="",F14="",G14=""),0,ROUND((E14+4*F14+G14)/6,0)),0)</f>
        <v>0</v>
      </c>
      <c r="I14" s="10">
        <f>H14*12</f>
        <v>0</v>
      </c>
      <c r="J14" s="14"/>
      <c r="K14" s="1" t="str">
        <f>IFERROR(IF(AND(H14&gt;0,J14&gt;0),ROUND(J14/H14,1),"-"),"-")</f>
        <v>-</v>
      </c>
      <c r="L14" s="16" t="str">
        <f>IFERROR(IF(J14&gt;0,(I14-J14)/J14,""),"")</f>
        <v/>
      </c>
      <c r="M14" s="13" t="s">
        <v>72</v>
      </c>
      <c r="N14" s="2"/>
    </row>
    <row r="15" spans="1:14" ht="36" customHeight="1">
      <c r="A15" s="12">
        <v>5</v>
      </c>
      <c r="B15" s="2"/>
      <c r="C15" s="13"/>
      <c r="D15" s="2"/>
      <c r="E15" s="14"/>
      <c r="F15" s="14"/>
      <c r="G15" s="14"/>
      <c r="H15" s="15">
        <f>IFERROR(IF(OR(E15="",F15="",G15=""),0,ROUND((E15+4*F15+G15)/6,0)),0)</f>
        <v>0</v>
      </c>
      <c r="I15" s="10">
        <f>H15*12</f>
        <v>0</v>
      </c>
      <c r="J15" s="14"/>
      <c r="K15" s="1" t="str">
        <f>IFERROR(IF(AND(H15&gt;0,J15&gt;0),ROUND(J15/H15,1),"-"),"-")</f>
        <v>-</v>
      </c>
      <c r="L15" s="16" t="str">
        <f>IFERROR(IF(J15&gt;0,(I15-J15)/J15,""),"")</f>
        <v/>
      </c>
      <c r="M15" s="13"/>
      <c r="N15" s="2"/>
    </row>
    <row r="16" spans="1:14" ht="36" customHeight="1">
      <c r="A16" s="12">
        <v>6</v>
      </c>
      <c r="B16" s="2"/>
      <c r="C16" s="13"/>
      <c r="D16" s="2"/>
      <c r="E16" s="14"/>
      <c r="F16" s="14"/>
      <c r="G16" s="14"/>
      <c r="H16" s="15">
        <f>IFERROR(IF(OR(E16="",F16="",G16=""),0,ROUND((E16+4*F16+G16)/6,0)),0)</f>
        <v>0</v>
      </c>
      <c r="I16" s="10">
        <f>H16*12</f>
        <v>0</v>
      </c>
      <c r="J16" s="14"/>
      <c r="K16" s="1" t="str">
        <f>IFERROR(IF(AND(H16&gt;0,J16&gt;0),ROUND(J16/H16,1),"-"),"-")</f>
        <v>-</v>
      </c>
      <c r="L16" s="16" t="str">
        <f>IFERROR(IF(J16&gt;0,(I16-J16)/J16,""),"")</f>
        <v/>
      </c>
      <c r="M16" s="13"/>
      <c r="N16" s="2"/>
    </row>
    <row r="17" spans="1:14" ht="36" customHeight="1">
      <c r="A17" s="12">
        <v>7</v>
      </c>
      <c r="B17" s="2"/>
      <c r="C17" s="13"/>
      <c r="D17" s="2"/>
      <c r="E17" s="14"/>
      <c r="F17" s="14"/>
      <c r="G17" s="14"/>
      <c r="H17" s="15">
        <f>IFERROR(IF(OR(E17="",F17="",G17=""),0,ROUND((E17+4*F17+G17)/6,0)),0)</f>
        <v>0</v>
      </c>
      <c r="I17" s="10">
        <f>H17*12</f>
        <v>0</v>
      </c>
      <c r="J17" s="14"/>
      <c r="K17" s="1" t="str">
        <f>IFERROR(IF(AND(H17&gt;0,J17&gt;0),ROUND(J17/H17,1),"-"),"-")</f>
        <v>-</v>
      </c>
      <c r="L17" s="16" t="str">
        <f>IFERROR(IF(J17&gt;0,(I17-J17)/J17,""),"")</f>
        <v/>
      </c>
      <c r="M17" s="13"/>
      <c r="N17" s="2"/>
    </row>
    <row r="18" spans="1:14" ht="36" customHeight="1">
      <c r="A18" s="12">
        <v>8</v>
      </c>
      <c r="B18" s="2"/>
      <c r="C18" s="13"/>
      <c r="D18" s="2"/>
      <c r="E18" s="14"/>
      <c r="F18" s="14"/>
      <c r="G18" s="14"/>
      <c r="H18" s="15">
        <f>IFERROR(IF(OR(E18="",F18="",G18=""),0,ROUND((E18+4*F18+G18)/6,0)),0)</f>
        <v>0</v>
      </c>
      <c r="I18" s="10">
        <f>H18*12</f>
        <v>0</v>
      </c>
      <c r="J18" s="14"/>
      <c r="K18" s="1" t="str">
        <f>IFERROR(IF(AND(H18&gt;0,J18&gt;0),ROUND(J18/H18,1),"-"),"-")</f>
        <v>-</v>
      </c>
      <c r="L18" s="16" t="str">
        <f>IFERROR(IF(J18&gt;0,(I18-J18)/J18,""),"")</f>
        <v/>
      </c>
      <c r="M18" s="13"/>
      <c r="N18" s="2"/>
    </row>
    <row r="19" spans="1:14" ht="36" customHeight="1">
      <c r="A19" s="12">
        <v>9</v>
      </c>
      <c r="B19" s="2"/>
      <c r="C19" s="13"/>
      <c r="D19" s="2"/>
      <c r="E19" s="14"/>
      <c r="F19" s="14"/>
      <c r="G19" s="14"/>
      <c r="H19" s="15">
        <f>IFERROR(IF(OR(E19="",F19="",G19=""),0,ROUND((E19+4*F19+G19)/6,0)),0)</f>
        <v>0</v>
      </c>
      <c r="I19" s="10">
        <f>H19*12</f>
        <v>0</v>
      </c>
      <c r="J19" s="14"/>
      <c r="K19" s="1" t="str">
        <f>IFERROR(IF(AND(H19&gt;0,J19&gt;0),ROUND(J19/H19,1),"-"),"-")</f>
        <v>-</v>
      </c>
      <c r="L19" s="16" t="str">
        <f>IFERROR(IF(J19&gt;0,(I19-J19)/J19,""),"")</f>
        <v/>
      </c>
      <c r="M19" s="13"/>
      <c r="N19" s="2"/>
    </row>
    <row r="20" spans="1:14" ht="36" customHeight="1">
      <c r="A20" s="12">
        <v>10</v>
      </c>
      <c r="B20" s="2"/>
      <c r="C20" s="13"/>
      <c r="D20" s="2"/>
      <c r="E20" s="14"/>
      <c r="F20" s="14"/>
      <c r="G20" s="14"/>
      <c r="H20" s="15">
        <f>IFERROR(IF(OR(E20="",F20="",G20=""),0,ROUND((E20+4*F20+G20)/6,0)),0)</f>
        <v>0</v>
      </c>
      <c r="I20" s="10">
        <f>H20*12</f>
        <v>0</v>
      </c>
      <c r="J20" s="14"/>
      <c r="K20" s="1" t="str">
        <f>IFERROR(IF(AND(H20&gt;0,J20&gt;0),ROUND(J20/H20,1),"-"),"-")</f>
        <v>-</v>
      </c>
      <c r="L20" s="16" t="str">
        <f>IFERROR(IF(J20&gt;0,(I20-J20)/J20,""),"")</f>
        <v/>
      </c>
      <c r="M20" s="13"/>
      <c r="N20" s="2"/>
    </row>
    <row r="21" spans="1:14" ht="36" customHeight="1">
      <c r="A21" s="12">
        <v>11</v>
      </c>
      <c r="B21" s="2"/>
      <c r="C21" s="13"/>
      <c r="D21" s="2"/>
      <c r="E21" s="14"/>
      <c r="F21" s="14"/>
      <c r="G21" s="14"/>
      <c r="H21" s="15">
        <f>IFERROR(IF(OR(E21="",F21="",G21=""),0,ROUND((E21+4*F21+G21)/6,0)),0)</f>
        <v>0</v>
      </c>
      <c r="I21" s="10">
        <f>H21*12</f>
        <v>0</v>
      </c>
      <c r="J21" s="14"/>
      <c r="K21" s="1" t="str">
        <f>IFERROR(IF(AND(H21&gt;0,J21&gt;0),ROUND(J21/H21,1),"-"),"-")</f>
        <v>-</v>
      </c>
      <c r="L21" s="16" t="str">
        <f>IFERROR(IF(J21&gt;0,(I21-J21)/J21,""),"")</f>
        <v/>
      </c>
      <c r="M21" s="13"/>
      <c r="N21" s="2"/>
    </row>
    <row r="22" spans="1:14" ht="36" customHeight="1">
      <c r="A22" s="12">
        <v>12</v>
      </c>
      <c r="B22" s="2"/>
      <c r="C22" s="13"/>
      <c r="D22" s="2"/>
      <c r="E22" s="14"/>
      <c r="F22" s="14"/>
      <c r="G22" s="14"/>
      <c r="H22" s="15">
        <f>IFERROR(IF(OR(E22="",F22="",G22=""),0,ROUND((E22+4*F22+G22)/6,0)),0)</f>
        <v>0</v>
      </c>
      <c r="I22" s="10">
        <f>H22*12</f>
        <v>0</v>
      </c>
      <c r="J22" s="14"/>
      <c r="K22" s="1" t="str">
        <f>IFERROR(IF(AND(H22&gt;0,J22&gt;0),ROUND(J22/H22,1),"-"),"-")</f>
        <v>-</v>
      </c>
      <c r="L22" s="16" t="str">
        <f>IFERROR(IF(J22&gt;0,(I22-J22)/J22,""),"")</f>
        <v/>
      </c>
      <c r="M22" s="13"/>
      <c r="N22" s="2"/>
    </row>
    <row r="23" spans="1:14" ht="36" customHeight="1">
      <c r="A23" s="12">
        <v>13</v>
      </c>
      <c r="B23" s="2"/>
      <c r="C23" s="13"/>
      <c r="D23" s="2"/>
      <c r="E23" s="14"/>
      <c r="F23" s="14"/>
      <c r="G23" s="14"/>
      <c r="H23" s="15">
        <f>IFERROR(IF(OR(E23="",F23="",G23=""),0,ROUND((E23+4*F23+G23)/6,0)),0)</f>
        <v>0</v>
      </c>
      <c r="I23" s="10">
        <f>H23*12</f>
        <v>0</v>
      </c>
      <c r="J23" s="14"/>
      <c r="K23" s="1" t="str">
        <f>IFERROR(IF(AND(H23&gt;0,J23&gt;0),ROUND(J23/H23,1),"-"),"-")</f>
        <v>-</v>
      </c>
      <c r="L23" s="16" t="str">
        <f>IFERROR(IF(J23&gt;0,(I23-J23)/J23,""),"")</f>
        <v/>
      </c>
      <c r="M23" s="13"/>
      <c r="N23" s="2"/>
    </row>
    <row r="24" spans="1:14" ht="36" customHeight="1">
      <c r="A24" s="12">
        <v>14</v>
      </c>
      <c r="B24" s="2"/>
      <c r="C24" s="13"/>
      <c r="D24" s="2"/>
      <c r="E24" s="14"/>
      <c r="F24" s="14"/>
      <c r="G24" s="14"/>
      <c r="H24" s="15">
        <f>IFERROR(IF(OR(E24="",F24="",G24=""),0,ROUND((E24+4*F24+G24)/6,0)),0)</f>
        <v>0</v>
      </c>
      <c r="I24" s="10">
        <f>H24*12</f>
        <v>0</v>
      </c>
      <c r="J24" s="14"/>
      <c r="K24" s="1" t="str">
        <f>IFERROR(IF(AND(H24&gt;0,J24&gt;0),ROUND(J24/H24,1),"-"),"-")</f>
        <v>-</v>
      </c>
      <c r="L24" s="16" t="str">
        <f>IFERROR(IF(J24&gt;0,(I24-J24)/J24,""),"")</f>
        <v/>
      </c>
      <c r="M24" s="13"/>
      <c r="N24" s="2"/>
    </row>
    <row r="25" spans="1:14" ht="36" customHeight="1">
      <c r="A25" s="12">
        <v>15</v>
      </c>
      <c r="B25" s="2"/>
      <c r="C25" s="13"/>
      <c r="D25" s="2"/>
      <c r="E25" s="14"/>
      <c r="F25" s="14"/>
      <c r="G25" s="14"/>
      <c r="H25" s="15">
        <f>IFERROR(IF(OR(E25="",F25="",G25=""),0,ROUND((E25+4*F25+G25)/6,0)),0)</f>
        <v>0</v>
      </c>
      <c r="I25" s="10">
        <f>H25*12</f>
        <v>0</v>
      </c>
      <c r="J25" s="14"/>
      <c r="K25" s="1" t="str">
        <f>IFERROR(IF(AND(H25&gt;0,J25&gt;0),ROUND(J25/H25,1),"-"),"-")</f>
        <v>-</v>
      </c>
      <c r="L25" s="16" t="str">
        <f>IFERROR(IF(J25&gt;0,(I25-J25)/J25,""),"")</f>
        <v/>
      </c>
      <c r="M25" s="13"/>
      <c r="N25" s="2"/>
    </row>
    <row r="26" spans="1:14" ht="27.75" customHeight="1">
      <c r="A26" s="33" t="s">
        <v>73</v>
      </c>
      <c r="B26" s="33"/>
      <c r="C26" s="33"/>
      <c r="D26" s="33"/>
      <c r="E26" s="18">
        <f>SUM(E11:E25)</f>
        <v>5482000</v>
      </c>
      <c r="F26" s="18">
        <f>SUM(F11:F25)</f>
        <v>5482000</v>
      </c>
      <c r="G26" s="18">
        <f>SUM(G11:G25)</f>
        <v>5482000</v>
      </c>
      <c r="H26" s="18">
        <f>SUM(H11:H25)</f>
        <v>5482000</v>
      </c>
      <c r="I26" s="18">
        <f>SUM(I11:I25)</f>
        <v>38374000</v>
      </c>
      <c r="J26" s="18">
        <f>SUM(J11:J25)</f>
        <v>0</v>
      </c>
      <c r="K26" s="19"/>
      <c r="L26" s="19"/>
      <c r="M26" s="19"/>
      <c r="N26" s="19"/>
    </row>
    <row r="28" spans="1:14" ht="21.75" customHeight="1">
      <c r="A28" s="26" t="s">
        <v>74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4" ht="21.75" customHeight="1">
      <c r="A29" s="11" t="s">
        <v>49</v>
      </c>
      <c r="B29" s="31" t="s">
        <v>75</v>
      </c>
      <c r="C29" s="31"/>
      <c r="D29" s="31"/>
      <c r="E29" s="31"/>
      <c r="F29" s="31"/>
      <c r="G29" s="31"/>
      <c r="H29" s="31" t="s">
        <v>76</v>
      </c>
      <c r="I29" s="31"/>
      <c r="J29" s="31"/>
      <c r="K29" s="31" t="s">
        <v>77</v>
      </c>
      <c r="L29" s="31"/>
      <c r="M29" s="31" t="s">
        <v>61</v>
      </c>
      <c r="N29" s="31"/>
    </row>
    <row r="30" spans="1:14" ht="24" customHeight="1">
      <c r="A30" s="12">
        <v>1</v>
      </c>
      <c r="B30" s="29"/>
      <c r="C30" s="29"/>
      <c r="D30" s="29"/>
      <c r="E30" s="29"/>
      <c r="F30" s="29"/>
      <c r="G30" s="29"/>
      <c r="H30" s="29"/>
      <c r="I30" s="29"/>
      <c r="J30" s="29"/>
      <c r="K30" s="32"/>
      <c r="L30" s="32"/>
      <c r="M30" s="30"/>
      <c r="N30" s="30"/>
    </row>
    <row r="31" spans="1:14" ht="24" customHeight="1">
      <c r="A31" s="12">
        <v>2</v>
      </c>
      <c r="B31" s="29"/>
      <c r="C31" s="29"/>
      <c r="D31" s="29"/>
      <c r="E31" s="29"/>
      <c r="F31" s="29"/>
      <c r="G31" s="29"/>
      <c r="H31" s="29"/>
      <c r="I31" s="29"/>
      <c r="J31" s="29"/>
      <c r="K31" s="32"/>
      <c r="L31" s="32"/>
      <c r="M31" s="30"/>
      <c r="N31" s="30"/>
    </row>
    <row r="32" spans="1:14" ht="24" customHeight="1">
      <c r="A32" s="12">
        <v>3</v>
      </c>
      <c r="B32" s="29"/>
      <c r="C32" s="29"/>
      <c r="D32" s="29"/>
      <c r="E32" s="29"/>
      <c r="F32" s="29"/>
      <c r="G32" s="29"/>
      <c r="H32" s="29"/>
      <c r="I32" s="29"/>
      <c r="J32" s="29"/>
      <c r="K32" s="32"/>
      <c r="L32" s="32"/>
      <c r="M32" s="30"/>
      <c r="N32" s="30"/>
    </row>
    <row r="33" spans="1:14" ht="24" customHeight="1">
      <c r="A33" s="12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32"/>
      <c r="L33" s="32"/>
      <c r="M33" s="30"/>
      <c r="N33" s="30"/>
    </row>
    <row r="34" spans="1:14" ht="24" customHeight="1">
      <c r="A34" s="12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32"/>
      <c r="L34" s="32"/>
      <c r="M34" s="30"/>
      <c r="N34" s="30"/>
    </row>
    <row r="35" spans="1:14" ht="24" customHeight="1">
      <c r="A35" s="12">
        <v>6</v>
      </c>
      <c r="B35" s="29"/>
      <c r="C35" s="29"/>
      <c r="D35" s="29"/>
      <c r="E35" s="29"/>
      <c r="F35" s="29"/>
      <c r="G35" s="29"/>
      <c r="H35" s="29"/>
      <c r="I35" s="29"/>
      <c r="J35" s="29"/>
      <c r="K35" s="32"/>
      <c r="L35" s="32"/>
      <c r="M35" s="30"/>
      <c r="N35" s="30"/>
    </row>
    <row r="37" spans="1:14" ht="21.75" customHeight="1">
      <c r="A37" s="26" t="s">
        <v>78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ht="21.75" customHeight="1">
      <c r="A38" s="31" t="s">
        <v>79</v>
      </c>
      <c r="B38" s="31"/>
      <c r="C38" s="31"/>
      <c r="D38" s="31"/>
      <c r="E38" s="31"/>
      <c r="F38" s="31" t="s">
        <v>80</v>
      </c>
      <c r="G38" s="31"/>
      <c r="H38" s="31"/>
      <c r="I38" s="31" t="s">
        <v>81</v>
      </c>
      <c r="J38" s="31"/>
      <c r="K38" s="31"/>
      <c r="L38" s="31" t="s">
        <v>82</v>
      </c>
      <c r="M38" s="31"/>
      <c r="N38" s="31"/>
    </row>
    <row r="39" spans="1:14" ht="21.75" customHeight="1">
      <c r="A39" s="29" t="s">
        <v>83</v>
      </c>
      <c r="B39" s="29"/>
      <c r="C39" s="29"/>
      <c r="D39" s="29"/>
      <c r="E39" s="29"/>
      <c r="F39" s="30"/>
      <c r="G39" s="30"/>
      <c r="H39" s="30"/>
      <c r="I39" s="30"/>
      <c r="J39" s="30"/>
      <c r="K39" s="30"/>
      <c r="L39" s="30" t="s">
        <v>84</v>
      </c>
      <c r="M39" s="30"/>
      <c r="N39" s="30"/>
    </row>
    <row r="40" spans="1:14" ht="21.75" customHeight="1">
      <c r="A40" s="29" t="s">
        <v>85</v>
      </c>
      <c r="B40" s="29"/>
      <c r="C40" s="29"/>
      <c r="D40" s="29"/>
      <c r="E40" s="29"/>
      <c r="F40" s="30"/>
      <c r="G40" s="30"/>
      <c r="H40" s="30"/>
      <c r="I40" s="30"/>
      <c r="J40" s="30"/>
      <c r="K40" s="30"/>
      <c r="L40" s="30" t="s">
        <v>84</v>
      </c>
      <c r="M40" s="30"/>
      <c r="N40" s="30"/>
    </row>
    <row r="41" spans="1:14" ht="21.75" customHeight="1">
      <c r="A41" s="29" t="s">
        <v>86</v>
      </c>
      <c r="B41" s="29"/>
      <c r="C41" s="29"/>
      <c r="D41" s="29"/>
      <c r="E41" s="29"/>
      <c r="F41" s="30"/>
      <c r="G41" s="30"/>
      <c r="H41" s="30"/>
      <c r="I41" s="30"/>
      <c r="J41" s="30"/>
      <c r="K41" s="30"/>
      <c r="L41" s="30" t="s">
        <v>84</v>
      </c>
      <c r="M41" s="30"/>
      <c r="N41" s="30"/>
    </row>
    <row r="42" spans="1:14" ht="21.75" customHeight="1">
      <c r="A42" s="29" t="s">
        <v>87</v>
      </c>
      <c r="B42" s="29"/>
      <c r="C42" s="29"/>
      <c r="D42" s="29"/>
      <c r="E42" s="29"/>
      <c r="F42" s="30"/>
      <c r="G42" s="30"/>
      <c r="H42" s="30"/>
      <c r="I42" s="30"/>
      <c r="J42" s="30"/>
      <c r="K42" s="30"/>
      <c r="L42" s="30" t="s">
        <v>84</v>
      </c>
      <c r="M42" s="30"/>
      <c r="N42" s="30"/>
    </row>
    <row r="43" spans="1:14" ht="21.75" customHeight="1">
      <c r="A43" s="29" t="s">
        <v>88</v>
      </c>
      <c r="B43" s="29"/>
      <c r="C43" s="29"/>
      <c r="D43" s="29"/>
      <c r="E43" s="29"/>
      <c r="F43" s="30"/>
      <c r="G43" s="30"/>
      <c r="H43" s="30"/>
      <c r="I43" s="30"/>
      <c r="J43" s="30"/>
      <c r="K43" s="30"/>
      <c r="L43" s="30" t="s">
        <v>84</v>
      </c>
      <c r="M43" s="30"/>
      <c r="N43" s="30"/>
    </row>
    <row r="44" spans="1:14" ht="21.75" customHeight="1">
      <c r="A44" s="29"/>
      <c r="B44" s="29"/>
      <c r="C44" s="29"/>
      <c r="D44" s="29"/>
      <c r="E44" s="29"/>
      <c r="F44" s="30"/>
      <c r="G44" s="30"/>
      <c r="H44" s="30"/>
      <c r="I44" s="30"/>
      <c r="J44" s="30"/>
      <c r="K44" s="30"/>
      <c r="L44" s="30"/>
      <c r="M44" s="30"/>
      <c r="N44" s="30"/>
    </row>
    <row r="45" spans="1:14" ht="21.75" customHeight="1">
      <c r="A45" s="29"/>
      <c r="B45" s="29"/>
      <c r="C45" s="29"/>
      <c r="D45" s="29"/>
      <c r="E45" s="29"/>
      <c r="F45" s="30"/>
      <c r="G45" s="30"/>
      <c r="H45" s="30"/>
      <c r="I45" s="30"/>
      <c r="J45" s="30"/>
      <c r="K45" s="30"/>
      <c r="L45" s="30"/>
      <c r="M45" s="30"/>
      <c r="N45" s="30"/>
    </row>
    <row r="46" spans="1:14" ht="21.75" customHeight="1">
      <c r="A46" s="29"/>
      <c r="B46" s="29"/>
      <c r="C46" s="29"/>
      <c r="D46" s="29"/>
      <c r="E46" s="29"/>
      <c r="F46" s="30"/>
      <c r="G46" s="30"/>
      <c r="H46" s="30"/>
      <c r="I46" s="30"/>
      <c r="J46" s="30"/>
      <c r="K46" s="30"/>
      <c r="L46" s="30"/>
      <c r="M46" s="30"/>
      <c r="N46" s="30"/>
    </row>
    <row r="48" spans="1:14" ht="21.75" customHeight="1">
      <c r="A48" s="26" t="s">
        <v>89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ht="36" customHeight="1">
      <c r="A49" s="27" t="s">
        <v>90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1" spans="1:14" ht="39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>
      <c r="A52" s="28" t="s">
        <v>91</v>
      </c>
      <c r="B52" s="28"/>
      <c r="C52" s="28"/>
      <c r="D52" s="28"/>
      <c r="E52" s="28"/>
      <c r="F52" s="28"/>
      <c r="G52" s="28"/>
      <c r="H52" s="28" t="s">
        <v>92</v>
      </c>
      <c r="I52" s="28"/>
      <c r="J52" s="28"/>
      <c r="K52" s="28"/>
      <c r="L52" s="28"/>
      <c r="M52" s="28"/>
      <c r="N52" s="28"/>
    </row>
    <row r="54" spans="1:14" ht="21.75" customHeight="1">
      <c r="A54" s="25" t="s">
        <v>39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</sheetData>
  <mergeCells count="87">
    <mergeCell ref="A1:N1"/>
    <mergeCell ref="A2:N2"/>
    <mergeCell ref="A3:N3"/>
    <mergeCell ref="A5:N5"/>
    <mergeCell ref="A6:C6"/>
    <mergeCell ref="D6:F6"/>
    <mergeCell ref="G6:H6"/>
    <mergeCell ref="I6:K6"/>
    <mergeCell ref="A7:C7"/>
    <mergeCell ref="D7:F7"/>
    <mergeCell ref="G7:H7"/>
    <mergeCell ref="I7:K7"/>
    <mergeCell ref="A9:N9"/>
    <mergeCell ref="A26:D26"/>
    <mergeCell ref="A28:N28"/>
    <mergeCell ref="B29:G29"/>
    <mergeCell ref="H29:J29"/>
    <mergeCell ref="K29:L29"/>
    <mergeCell ref="M29:N29"/>
    <mergeCell ref="B30:G30"/>
    <mergeCell ref="H30:J30"/>
    <mergeCell ref="K30:L30"/>
    <mergeCell ref="M30:N30"/>
    <mergeCell ref="B31:G31"/>
    <mergeCell ref="H31:J31"/>
    <mergeCell ref="K31:L31"/>
    <mergeCell ref="M31:N31"/>
    <mergeCell ref="B32:G32"/>
    <mergeCell ref="H32:J32"/>
    <mergeCell ref="K32:L32"/>
    <mergeCell ref="M32:N32"/>
    <mergeCell ref="B33:G33"/>
    <mergeCell ref="H33:J33"/>
    <mergeCell ref="K33:L33"/>
    <mergeCell ref="M33:N33"/>
    <mergeCell ref="B34:G34"/>
    <mergeCell ref="H34:J34"/>
    <mergeCell ref="K34:L34"/>
    <mergeCell ref="M34:N34"/>
    <mergeCell ref="B35:G35"/>
    <mergeCell ref="H35:J35"/>
    <mergeCell ref="K35:L35"/>
    <mergeCell ref="M35:N35"/>
    <mergeCell ref="A37:N37"/>
    <mergeCell ref="A38:E38"/>
    <mergeCell ref="F38:H38"/>
    <mergeCell ref="I38:K38"/>
    <mergeCell ref="L38:N38"/>
    <mergeCell ref="A39:E39"/>
    <mergeCell ref="F39:H39"/>
    <mergeCell ref="I39:K39"/>
    <mergeCell ref="L39:N39"/>
    <mergeCell ref="A40:E40"/>
    <mergeCell ref="F40:H40"/>
    <mergeCell ref="I40:K40"/>
    <mergeCell ref="L40:N40"/>
    <mergeCell ref="A41:E41"/>
    <mergeCell ref="F41:H41"/>
    <mergeCell ref="I41:K41"/>
    <mergeCell ref="L41:N41"/>
    <mergeCell ref="A42:E42"/>
    <mergeCell ref="F42:H42"/>
    <mergeCell ref="I42:K42"/>
    <mergeCell ref="L42:N42"/>
    <mergeCell ref="A43:E43"/>
    <mergeCell ref="F43:H43"/>
    <mergeCell ref="I43:K43"/>
    <mergeCell ref="L43:N43"/>
    <mergeCell ref="A44:E44"/>
    <mergeCell ref="F44:H44"/>
    <mergeCell ref="I44:K44"/>
    <mergeCell ref="L44:N44"/>
    <mergeCell ref="A45:E45"/>
    <mergeCell ref="F45:H45"/>
    <mergeCell ref="I45:K45"/>
    <mergeCell ref="L45:N45"/>
    <mergeCell ref="A46:E46"/>
    <mergeCell ref="F46:H46"/>
    <mergeCell ref="I46:K46"/>
    <mergeCell ref="L46:N46"/>
    <mergeCell ref="A54:N54"/>
    <mergeCell ref="A48:N48"/>
    <mergeCell ref="A49:N49"/>
    <mergeCell ref="A51:G51"/>
    <mergeCell ref="H51:N51"/>
    <mergeCell ref="A52:G52"/>
    <mergeCell ref="H52:N52"/>
  </mergeCells>
  <dataValidations count="5">
    <dataValidation type="list" allowBlank="1" sqref="C11:C25" xr:uid="{00000000-0002-0000-0100-000000000000}">
      <formula1>"AHORRO,INGRESO,MIXTA"</formula1>
      <formula2>0</formula2>
    </dataValidation>
    <dataValidation type="list" allowBlank="1" sqref="D11:D25" xr:uid="{00000000-0002-0000-0100-000001000000}">
      <formula1>"Renegociación proveedor,Cambio proveedor,Digitalización,Optimización proceso,Reducción consumo,Tecnología,Nueva fuente ingreso,B2B / Corporativo,Monetización activos,Servicios afiliados,Cumplimiento normativo,Otro"</formula1>
      <formula2>0</formula2>
    </dataValidation>
    <dataValidation type="list" allowBlank="1" sqref="M11:M25" xr:uid="{00000000-0002-0000-0100-000002000000}">
      <formula1>"Propuesta,Análisis,En análisis,Cotización,Negociación,Diseño,Piloto,En curso,Gestión,Por desarrollar,Materializado,Confirmado,Aprobado,Cancelado"</formula1>
      <formula2>0</formula2>
    </dataValidation>
    <dataValidation type="list" allowBlank="1" sqref="M30:M35" xr:uid="{00000000-0002-0000-0100-000003000000}">
      <formula1>"Pendiente,En curso,Completado"</formula1>
      <formula2>0</formula2>
    </dataValidation>
    <dataValidation type="list" allowBlank="1" sqref="L39:L46" xr:uid="{00000000-0002-0000-0100-000004000000}">
      <formula1>"Semanal,Quincenal,Mensual"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7109375" defaultRowHeight="15"/>
  <cols>
    <col min="1" max="1" width="4" customWidth="1"/>
    <col min="2" max="2" width="36" customWidth="1"/>
    <col min="3" max="3" width="10" customWidth="1"/>
    <col min="4" max="4" width="16" customWidth="1"/>
    <col min="5" max="8" width="12" customWidth="1"/>
    <col min="9" max="9" width="13" customWidth="1"/>
    <col min="10" max="10" width="11" customWidth="1"/>
    <col min="11" max="12" width="9" customWidth="1"/>
    <col min="13" max="13" width="13" customWidth="1"/>
    <col min="14" max="14" width="22" customWidth="1"/>
  </cols>
  <sheetData>
    <row r="1" spans="1:14" ht="18" customHeight="1">
      <c r="A1" s="37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31.5" customHeight="1">
      <c r="A2" s="38" t="s">
        <v>93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" customHeight="1">
      <c r="A3" s="39" t="s">
        <v>42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spans="1:14" ht="24" customHeight="1">
      <c r="A5" s="26" t="s">
        <v>43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21.75" customHeight="1">
      <c r="A6" s="40" t="s">
        <v>44</v>
      </c>
      <c r="B6" s="40"/>
      <c r="C6" s="40"/>
      <c r="D6" s="40" t="s">
        <v>45</v>
      </c>
      <c r="E6" s="40"/>
      <c r="F6" s="40"/>
      <c r="G6" s="40" t="s">
        <v>46</v>
      </c>
      <c r="H6" s="40"/>
      <c r="I6" s="40" t="s">
        <v>47</v>
      </c>
      <c r="J6" s="40"/>
      <c r="K6" s="40"/>
    </row>
    <row r="7" spans="1:14" ht="24" customHeight="1">
      <c r="A7" s="29"/>
      <c r="B7" s="29"/>
      <c r="C7" s="29"/>
      <c r="D7" s="34"/>
      <c r="E7" s="34"/>
      <c r="F7" s="34"/>
      <c r="G7" s="35">
        <f>COUNTA(B11:B25)</f>
        <v>7</v>
      </c>
      <c r="H7" s="35"/>
      <c r="I7" s="36">
        <f>SUM(I11:I25)</f>
        <v>75678396</v>
      </c>
      <c r="J7" s="36"/>
      <c r="K7" s="36"/>
    </row>
    <row r="9" spans="1:14" ht="24" customHeight="1">
      <c r="A9" s="26" t="s">
        <v>48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31.5" customHeight="1">
      <c r="A10" s="11" t="s">
        <v>49</v>
      </c>
      <c r="B10" s="11" t="s">
        <v>50</v>
      </c>
      <c r="C10" s="11" t="s">
        <v>51</v>
      </c>
      <c r="D10" s="11" t="s">
        <v>52</v>
      </c>
      <c r="E10" s="11" t="s">
        <v>53</v>
      </c>
      <c r="F10" s="11" t="s">
        <v>54</v>
      </c>
      <c r="G10" s="11" t="s">
        <v>55</v>
      </c>
      <c r="H10" s="11" t="s">
        <v>56</v>
      </c>
      <c r="I10" s="11" t="s">
        <v>57</v>
      </c>
      <c r="J10" s="11" t="s">
        <v>58</v>
      </c>
      <c r="K10" s="11" t="s">
        <v>59</v>
      </c>
      <c r="L10" s="11" t="s">
        <v>60</v>
      </c>
      <c r="M10" s="11" t="s">
        <v>61</v>
      </c>
      <c r="N10" s="11" t="s">
        <v>62</v>
      </c>
    </row>
    <row r="11" spans="1:14" ht="36" customHeight="1">
      <c r="A11" s="12">
        <v>1</v>
      </c>
      <c r="B11" s="2" t="s">
        <v>94</v>
      </c>
      <c r="C11" s="13" t="s">
        <v>64</v>
      </c>
      <c r="D11" s="2" t="s">
        <v>95</v>
      </c>
      <c r="E11" s="14"/>
      <c r="F11" s="14"/>
      <c r="G11" s="14"/>
      <c r="H11" s="15">
        <f>IFERROR(IF(OR(E11="",F11="",G11=""),0,ROUND((E11+4*F11+G11)/6,0)),0)</f>
        <v>0</v>
      </c>
      <c r="I11" s="10">
        <f>H11*12</f>
        <v>0</v>
      </c>
      <c r="J11" s="14"/>
      <c r="K11" s="1" t="str">
        <f>IFERROR(IF(AND(H11&gt;0,J11&gt;0),ROUND(J11/H11,1),"-"),"-")</f>
        <v>-</v>
      </c>
      <c r="L11" s="16" t="str">
        <f>IFERROR(IF(J11&gt;0,(I11-J11)/J11,""),"")</f>
        <v/>
      </c>
      <c r="M11" s="13" t="s">
        <v>96</v>
      </c>
      <c r="N11" s="2"/>
    </row>
    <row r="12" spans="1:14" ht="36" customHeight="1">
      <c r="A12" s="12">
        <v>2</v>
      </c>
      <c r="B12" s="2" t="s">
        <v>97</v>
      </c>
      <c r="C12" s="13" t="s">
        <v>64</v>
      </c>
      <c r="D12" s="2" t="s">
        <v>71</v>
      </c>
      <c r="E12" s="14"/>
      <c r="F12" s="14"/>
      <c r="G12" s="14"/>
      <c r="H12" s="15">
        <f>IFERROR(IF(OR(E12="",F12="",G12=""),0,ROUND((E12+4*F12+G12)/6,0)),0)</f>
        <v>0</v>
      </c>
      <c r="I12" s="10">
        <f>H12*12</f>
        <v>0</v>
      </c>
      <c r="J12" s="14"/>
      <c r="K12" s="1" t="str">
        <f>IFERROR(IF(AND(H12&gt;0,J12&gt;0),ROUND(J12/H12,1),"-"),"-")</f>
        <v>-</v>
      </c>
      <c r="L12" s="16" t="str">
        <f>IFERROR(IF(J12&gt;0,(I12-J12)/J12,""),"")</f>
        <v/>
      </c>
      <c r="M12" s="13" t="s">
        <v>96</v>
      </c>
      <c r="N12" s="2"/>
    </row>
    <row r="13" spans="1:14" ht="36" customHeight="1">
      <c r="A13" s="12">
        <v>3</v>
      </c>
      <c r="B13" s="2" t="s">
        <v>98</v>
      </c>
      <c r="C13" s="13" t="s">
        <v>64</v>
      </c>
      <c r="D13" s="2" t="s">
        <v>71</v>
      </c>
      <c r="E13" s="14"/>
      <c r="F13" s="14"/>
      <c r="G13" s="14"/>
      <c r="H13" s="15">
        <f>IFERROR(IF(OR(E13="",F13="",G13=""),0,ROUND((E13+4*F13+G13)/6,0)),0)</f>
        <v>0</v>
      </c>
      <c r="I13" s="10">
        <f>H13*12</f>
        <v>0</v>
      </c>
      <c r="J13" s="14"/>
      <c r="K13" s="1" t="str">
        <f>IFERROR(IF(AND(H13&gt;0,J13&gt;0),ROUND(J13/H13,1),"-"),"-")</f>
        <v>-</v>
      </c>
      <c r="L13" s="16" t="str">
        <f>IFERROR(IF(J13&gt;0,(I13-J13)/J13,""),"")</f>
        <v/>
      </c>
      <c r="M13" s="13" t="s">
        <v>99</v>
      </c>
      <c r="N13" s="2"/>
    </row>
    <row r="14" spans="1:14" ht="36" customHeight="1">
      <c r="A14" s="12">
        <v>4</v>
      </c>
      <c r="B14" s="2" t="s">
        <v>100</v>
      </c>
      <c r="C14" s="13" t="s">
        <v>64</v>
      </c>
      <c r="D14" s="2" t="s">
        <v>95</v>
      </c>
      <c r="E14" s="14">
        <v>5833333</v>
      </c>
      <c r="F14" s="14">
        <v>5833333</v>
      </c>
      <c r="G14" s="14">
        <v>5833333</v>
      </c>
      <c r="H14" s="15">
        <f>IFERROR(IF(OR(E14="",F14="",G14=""),0,ROUND((E14+4*F14+G14)/6,0)),0)</f>
        <v>5833333</v>
      </c>
      <c r="I14" s="10">
        <f>H14*12</f>
        <v>69999996</v>
      </c>
      <c r="J14" s="14"/>
      <c r="K14" s="1" t="str">
        <f>IFERROR(IF(AND(H14&gt;0,J14&gt;0),ROUND(J14/H14,1),"-"),"-")</f>
        <v>-</v>
      </c>
      <c r="L14" s="16" t="str">
        <f>IFERROR(IF(J14&gt;0,(I14-J14)/J14,""),"")</f>
        <v/>
      </c>
      <c r="M14" s="13" t="s">
        <v>96</v>
      </c>
      <c r="N14" s="2"/>
    </row>
    <row r="15" spans="1:14" ht="36" customHeight="1">
      <c r="A15" s="12">
        <v>5</v>
      </c>
      <c r="B15" s="2" t="s">
        <v>101</v>
      </c>
      <c r="C15" s="13" t="s">
        <v>64</v>
      </c>
      <c r="D15" s="2" t="s">
        <v>95</v>
      </c>
      <c r="E15" s="14"/>
      <c r="F15" s="14"/>
      <c r="G15" s="14"/>
      <c r="H15" s="15">
        <f>IFERROR(IF(OR(E15="",F15="",G15=""),0,ROUND((E15+4*F15+G15)/6,0)),0)</f>
        <v>0</v>
      </c>
      <c r="I15" s="10">
        <f>H15*12</f>
        <v>0</v>
      </c>
      <c r="J15" s="14"/>
      <c r="K15" s="1" t="str">
        <f>IFERROR(IF(AND(H15&gt;0,J15&gt;0),ROUND(J15/H15,1),"-"),"-")</f>
        <v>-</v>
      </c>
      <c r="L15" s="16" t="str">
        <f>IFERROR(IF(J15&gt;0,(I15-J15)/J15,""),"")</f>
        <v/>
      </c>
      <c r="M15" s="13" t="s">
        <v>102</v>
      </c>
      <c r="N15" s="2"/>
    </row>
    <row r="16" spans="1:14" ht="36" customHeight="1">
      <c r="A16" s="12">
        <v>6</v>
      </c>
      <c r="B16" s="2" t="s">
        <v>103</v>
      </c>
      <c r="C16" s="13" t="s">
        <v>64</v>
      </c>
      <c r="D16" s="2" t="s">
        <v>95</v>
      </c>
      <c r="E16" s="14">
        <v>300000</v>
      </c>
      <c r="F16" s="14">
        <v>300000</v>
      </c>
      <c r="G16" s="14">
        <v>300000</v>
      </c>
      <c r="H16" s="15">
        <f>IFERROR(IF(OR(E16="",F16="",G16=""),0,ROUND((E16+4*F16+G16)/6,0)),0)</f>
        <v>300000</v>
      </c>
      <c r="I16" s="10">
        <f>H16*12</f>
        <v>3600000</v>
      </c>
      <c r="J16" s="14"/>
      <c r="K16" s="1" t="str">
        <f>IFERROR(IF(AND(H16&gt;0,J16&gt;0),ROUND(J16/H16,1),"-"),"-")</f>
        <v>-</v>
      </c>
      <c r="L16" s="16" t="str">
        <f>IFERROR(IF(J16&gt;0,(I16-J16)/J16,""),"")</f>
        <v/>
      </c>
      <c r="M16" s="13" t="s">
        <v>102</v>
      </c>
      <c r="N16" s="2"/>
    </row>
    <row r="17" spans="1:14" ht="36" customHeight="1">
      <c r="A17" s="12">
        <v>7</v>
      </c>
      <c r="B17" s="2" t="s">
        <v>104</v>
      </c>
      <c r="C17" s="13" t="s">
        <v>64</v>
      </c>
      <c r="D17" s="2" t="s">
        <v>71</v>
      </c>
      <c r="E17" s="14">
        <f>41800+131400</f>
        <v>173200</v>
      </c>
      <c r="F17" s="14">
        <v>173200</v>
      </c>
      <c r="G17" s="14">
        <v>173200</v>
      </c>
      <c r="H17" s="15">
        <f>IFERROR(IF(OR(E17="",F17="",G17=""),0,ROUND((E17+4*F17+G17)/6,0)),0)</f>
        <v>173200</v>
      </c>
      <c r="I17" s="10">
        <f>H17*12</f>
        <v>2078400</v>
      </c>
      <c r="J17" s="14"/>
      <c r="K17" s="1" t="str">
        <f>IFERROR(IF(AND(H17&gt;0,J17&gt;0),ROUND(J17/H17,1),"-"),"-")</f>
        <v>-</v>
      </c>
      <c r="L17" s="16" t="str">
        <f>IFERROR(IF(J17&gt;0,(I17-J17)/J17,""),"")</f>
        <v/>
      </c>
      <c r="M17" s="13" t="s">
        <v>102</v>
      </c>
      <c r="N17" s="2"/>
    </row>
    <row r="18" spans="1:14" ht="36" customHeight="1">
      <c r="A18" s="12">
        <v>8</v>
      </c>
      <c r="B18" s="2"/>
      <c r="C18" s="13"/>
      <c r="D18" s="2"/>
      <c r="E18" s="14"/>
      <c r="F18" s="14"/>
      <c r="G18" s="14"/>
      <c r="H18" s="15">
        <f>IFERROR(IF(OR(E18="",F18="",G18=""),0,ROUND((E18+4*F18+G18)/6,0)),0)</f>
        <v>0</v>
      </c>
      <c r="I18" s="10">
        <f>H18*12</f>
        <v>0</v>
      </c>
      <c r="J18" s="14"/>
      <c r="K18" s="1" t="str">
        <f>IFERROR(IF(AND(H18&gt;0,J18&gt;0),ROUND(J18/H18,1),"-"),"-")</f>
        <v>-</v>
      </c>
      <c r="L18" s="16" t="str">
        <f>IFERROR(IF(J18&gt;0,(I18-J18)/J18,""),"")</f>
        <v/>
      </c>
      <c r="M18" s="13"/>
      <c r="N18" s="2"/>
    </row>
    <row r="19" spans="1:14" ht="36" customHeight="1">
      <c r="A19" s="12">
        <v>9</v>
      </c>
      <c r="B19" s="2"/>
      <c r="C19" s="13"/>
      <c r="D19" s="2"/>
      <c r="E19" s="14"/>
      <c r="F19" s="14"/>
      <c r="G19" s="14"/>
      <c r="H19" s="15">
        <f>IFERROR(IF(OR(E19="",F19="",G19=""),0,ROUND((E19+4*F19+G19)/6,0)),0)</f>
        <v>0</v>
      </c>
      <c r="I19" s="10">
        <f>H19*12</f>
        <v>0</v>
      </c>
      <c r="J19" s="14"/>
      <c r="K19" s="1" t="str">
        <f>IFERROR(IF(AND(H19&gt;0,J19&gt;0),ROUND(J19/H19,1),"-"),"-")</f>
        <v>-</v>
      </c>
      <c r="L19" s="16" t="str">
        <f>IFERROR(IF(J19&gt;0,(I19-J19)/J19,""),"")</f>
        <v/>
      </c>
      <c r="M19" s="13"/>
      <c r="N19" s="2"/>
    </row>
    <row r="20" spans="1:14" ht="36" customHeight="1">
      <c r="A20" s="12">
        <v>10</v>
      </c>
      <c r="B20" s="2"/>
      <c r="C20" s="13"/>
      <c r="D20" s="2"/>
      <c r="E20" s="14"/>
      <c r="F20" s="14"/>
      <c r="G20" s="14"/>
      <c r="H20" s="15">
        <f>IFERROR(IF(OR(E20="",F20="",G20=""),0,ROUND((E20+4*F20+G20)/6,0)),0)</f>
        <v>0</v>
      </c>
      <c r="I20" s="10">
        <f>H20*12</f>
        <v>0</v>
      </c>
      <c r="J20" s="14"/>
      <c r="K20" s="1" t="str">
        <f>IFERROR(IF(AND(H20&gt;0,J20&gt;0),ROUND(J20/H20,1),"-"),"-")</f>
        <v>-</v>
      </c>
      <c r="L20" s="16" t="str">
        <f>IFERROR(IF(J20&gt;0,(I20-J20)/J20,""),"")</f>
        <v/>
      </c>
      <c r="M20" s="13"/>
      <c r="N20" s="2"/>
    </row>
    <row r="21" spans="1:14" ht="36" customHeight="1">
      <c r="A21" s="12">
        <v>11</v>
      </c>
      <c r="B21" s="2"/>
      <c r="C21" s="13"/>
      <c r="D21" s="2"/>
      <c r="E21" s="14"/>
      <c r="F21" s="14"/>
      <c r="G21" s="14"/>
      <c r="H21" s="15">
        <f>IFERROR(IF(OR(E21="",F21="",G21=""),0,ROUND((E21+4*F21+G21)/6,0)),0)</f>
        <v>0</v>
      </c>
      <c r="I21" s="10">
        <f>H21*12</f>
        <v>0</v>
      </c>
      <c r="J21" s="14"/>
      <c r="K21" s="1" t="str">
        <f>IFERROR(IF(AND(H21&gt;0,J21&gt;0),ROUND(J21/H21,1),"-"),"-")</f>
        <v>-</v>
      </c>
      <c r="L21" s="16" t="str">
        <f>IFERROR(IF(J21&gt;0,(I21-J21)/J21,""),"")</f>
        <v/>
      </c>
      <c r="M21" s="13"/>
      <c r="N21" s="2"/>
    </row>
    <row r="22" spans="1:14" ht="36" customHeight="1">
      <c r="A22" s="12">
        <v>12</v>
      </c>
      <c r="B22" s="2"/>
      <c r="C22" s="13"/>
      <c r="D22" s="2"/>
      <c r="E22" s="14"/>
      <c r="F22" s="14"/>
      <c r="G22" s="14"/>
      <c r="H22" s="15">
        <f>IFERROR(IF(OR(E22="",F22="",G22=""),0,ROUND((E22+4*F22+G22)/6,0)),0)</f>
        <v>0</v>
      </c>
      <c r="I22" s="10">
        <f>H22*12</f>
        <v>0</v>
      </c>
      <c r="J22" s="14"/>
      <c r="K22" s="1" t="str">
        <f>IFERROR(IF(AND(H22&gt;0,J22&gt;0),ROUND(J22/H22,1),"-"),"-")</f>
        <v>-</v>
      </c>
      <c r="L22" s="16" t="str">
        <f>IFERROR(IF(J22&gt;0,(I22-J22)/J22,""),"")</f>
        <v/>
      </c>
      <c r="M22" s="13"/>
      <c r="N22" s="2"/>
    </row>
    <row r="23" spans="1:14" ht="36" customHeight="1">
      <c r="A23" s="12">
        <v>13</v>
      </c>
      <c r="B23" s="2"/>
      <c r="C23" s="13"/>
      <c r="D23" s="2"/>
      <c r="E23" s="14"/>
      <c r="F23" s="14"/>
      <c r="G23" s="14"/>
      <c r="H23" s="15">
        <f>IFERROR(IF(OR(E23="",F23="",G23=""),0,ROUND((E23+4*F23+G23)/6,0)),0)</f>
        <v>0</v>
      </c>
      <c r="I23" s="10">
        <f>H23*12</f>
        <v>0</v>
      </c>
      <c r="J23" s="14"/>
      <c r="K23" s="1" t="str">
        <f>IFERROR(IF(AND(H23&gt;0,J23&gt;0),ROUND(J23/H23,1),"-"),"-")</f>
        <v>-</v>
      </c>
      <c r="L23" s="16" t="str">
        <f>IFERROR(IF(J23&gt;0,(I23-J23)/J23,""),"")</f>
        <v/>
      </c>
      <c r="M23" s="13"/>
      <c r="N23" s="2"/>
    </row>
    <row r="24" spans="1:14" ht="36" customHeight="1">
      <c r="A24" s="12">
        <v>14</v>
      </c>
      <c r="B24" s="2"/>
      <c r="C24" s="13"/>
      <c r="D24" s="2"/>
      <c r="E24" s="14"/>
      <c r="F24" s="14"/>
      <c r="G24" s="14"/>
      <c r="H24" s="15">
        <f>IFERROR(IF(OR(E24="",F24="",G24=""),0,ROUND((E24+4*F24+G24)/6,0)),0)</f>
        <v>0</v>
      </c>
      <c r="I24" s="10">
        <f>H24*12</f>
        <v>0</v>
      </c>
      <c r="J24" s="14"/>
      <c r="K24" s="1" t="str">
        <f>IFERROR(IF(AND(H24&gt;0,J24&gt;0),ROUND(J24/H24,1),"-"),"-")</f>
        <v>-</v>
      </c>
      <c r="L24" s="16" t="str">
        <f>IFERROR(IF(J24&gt;0,(I24-J24)/J24,""),"")</f>
        <v/>
      </c>
      <c r="M24" s="13"/>
      <c r="N24" s="2"/>
    </row>
    <row r="25" spans="1:14" ht="36" customHeight="1">
      <c r="A25" s="12">
        <v>15</v>
      </c>
      <c r="B25" s="2"/>
      <c r="C25" s="13"/>
      <c r="D25" s="2"/>
      <c r="E25" s="14"/>
      <c r="F25" s="14"/>
      <c r="G25" s="14"/>
      <c r="H25" s="15">
        <f>IFERROR(IF(OR(E25="",F25="",G25=""),0,ROUND((E25+4*F25+G25)/6,0)),0)</f>
        <v>0</v>
      </c>
      <c r="I25" s="10">
        <f>H25*12</f>
        <v>0</v>
      </c>
      <c r="J25" s="14"/>
      <c r="K25" s="1" t="str">
        <f>IFERROR(IF(AND(H25&gt;0,J25&gt;0),ROUND(J25/H25,1),"-"),"-")</f>
        <v>-</v>
      </c>
      <c r="L25" s="16" t="str">
        <f>IFERROR(IF(J25&gt;0,(I25-J25)/J25,""),"")</f>
        <v/>
      </c>
      <c r="M25" s="13"/>
      <c r="N25" s="2"/>
    </row>
    <row r="26" spans="1:14" ht="27.75" customHeight="1">
      <c r="A26" s="33" t="s">
        <v>73</v>
      </c>
      <c r="B26" s="33"/>
      <c r="C26" s="33"/>
      <c r="D26" s="33"/>
      <c r="E26" s="18">
        <f>SUM(E11:E25)</f>
        <v>6306533</v>
      </c>
      <c r="F26" s="18">
        <f>SUM(F11:F25)</f>
        <v>6306533</v>
      </c>
      <c r="G26" s="18">
        <f>SUM(G11:G25)</f>
        <v>6306533</v>
      </c>
      <c r="H26" s="18">
        <f>SUM(H11:H25)</f>
        <v>6306533</v>
      </c>
      <c r="I26" s="18">
        <f>SUM(I11:I25)</f>
        <v>75678396</v>
      </c>
      <c r="J26" s="18">
        <f>SUM(J11:J25)</f>
        <v>0</v>
      </c>
      <c r="K26" s="19"/>
      <c r="L26" s="19"/>
      <c r="M26" s="19"/>
      <c r="N26" s="19"/>
    </row>
    <row r="28" spans="1:14" ht="21.75" customHeight="1">
      <c r="A28" s="26" t="s">
        <v>74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4" ht="21.75" customHeight="1">
      <c r="A29" s="11" t="s">
        <v>49</v>
      </c>
      <c r="B29" s="31" t="s">
        <v>75</v>
      </c>
      <c r="C29" s="31"/>
      <c r="D29" s="31"/>
      <c r="E29" s="31"/>
      <c r="F29" s="31"/>
      <c r="G29" s="31"/>
      <c r="H29" s="31" t="s">
        <v>76</v>
      </c>
      <c r="I29" s="31"/>
      <c r="J29" s="31"/>
      <c r="K29" s="31" t="s">
        <v>77</v>
      </c>
      <c r="L29" s="31"/>
      <c r="M29" s="31" t="s">
        <v>61</v>
      </c>
      <c r="N29" s="31"/>
    </row>
    <row r="30" spans="1:14" ht="24" customHeight="1">
      <c r="A30" s="12">
        <v>1</v>
      </c>
      <c r="B30" s="29"/>
      <c r="C30" s="29"/>
      <c r="D30" s="29"/>
      <c r="E30" s="29"/>
      <c r="F30" s="29"/>
      <c r="G30" s="29"/>
      <c r="H30" s="29"/>
      <c r="I30" s="29"/>
      <c r="J30" s="29"/>
      <c r="K30" s="32"/>
      <c r="L30" s="32"/>
      <c r="M30" s="30"/>
      <c r="N30" s="30"/>
    </row>
    <row r="31" spans="1:14" ht="24" customHeight="1">
      <c r="A31" s="12">
        <v>2</v>
      </c>
      <c r="B31" s="29"/>
      <c r="C31" s="29"/>
      <c r="D31" s="29"/>
      <c r="E31" s="29"/>
      <c r="F31" s="29"/>
      <c r="G31" s="29"/>
      <c r="H31" s="29"/>
      <c r="I31" s="29"/>
      <c r="J31" s="29"/>
      <c r="K31" s="32"/>
      <c r="L31" s="32"/>
      <c r="M31" s="30"/>
      <c r="N31" s="30"/>
    </row>
    <row r="32" spans="1:14" ht="24" customHeight="1">
      <c r="A32" s="12">
        <v>3</v>
      </c>
      <c r="B32" s="29"/>
      <c r="C32" s="29"/>
      <c r="D32" s="29"/>
      <c r="E32" s="29"/>
      <c r="F32" s="29"/>
      <c r="G32" s="29"/>
      <c r="H32" s="29"/>
      <c r="I32" s="29"/>
      <c r="J32" s="29"/>
      <c r="K32" s="32"/>
      <c r="L32" s="32"/>
      <c r="M32" s="30"/>
      <c r="N32" s="30"/>
    </row>
    <row r="33" spans="1:14" ht="24" customHeight="1">
      <c r="A33" s="12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32"/>
      <c r="L33" s="32"/>
      <c r="M33" s="30"/>
      <c r="N33" s="30"/>
    </row>
    <row r="34" spans="1:14" ht="24" customHeight="1">
      <c r="A34" s="12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32"/>
      <c r="L34" s="32"/>
      <c r="M34" s="30"/>
      <c r="N34" s="30"/>
    </row>
    <row r="35" spans="1:14" ht="24" customHeight="1">
      <c r="A35" s="12">
        <v>6</v>
      </c>
      <c r="B35" s="29"/>
      <c r="C35" s="29"/>
      <c r="D35" s="29"/>
      <c r="E35" s="29"/>
      <c r="F35" s="29"/>
      <c r="G35" s="29"/>
      <c r="H35" s="29"/>
      <c r="I35" s="29"/>
      <c r="J35" s="29"/>
      <c r="K35" s="32"/>
      <c r="L35" s="32"/>
      <c r="M35" s="30"/>
      <c r="N35" s="30"/>
    </row>
    <row r="37" spans="1:14" ht="21.75" customHeight="1">
      <c r="A37" s="26" t="s">
        <v>78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ht="21.75" customHeight="1">
      <c r="A38" s="31" t="s">
        <v>79</v>
      </c>
      <c r="B38" s="31"/>
      <c r="C38" s="31"/>
      <c r="D38" s="31"/>
      <c r="E38" s="31"/>
      <c r="F38" s="31" t="s">
        <v>80</v>
      </c>
      <c r="G38" s="31"/>
      <c r="H38" s="31"/>
      <c r="I38" s="31" t="s">
        <v>81</v>
      </c>
      <c r="J38" s="31"/>
      <c r="K38" s="31"/>
      <c r="L38" s="31" t="s">
        <v>82</v>
      </c>
      <c r="M38" s="31"/>
      <c r="N38" s="31"/>
    </row>
    <row r="39" spans="1:14" ht="21.75" customHeight="1">
      <c r="A39" s="29" t="s">
        <v>83</v>
      </c>
      <c r="B39" s="29"/>
      <c r="C39" s="29"/>
      <c r="D39" s="29"/>
      <c r="E39" s="29"/>
      <c r="F39" s="30"/>
      <c r="G39" s="30"/>
      <c r="H39" s="30"/>
      <c r="I39" s="30"/>
      <c r="J39" s="30"/>
      <c r="K39" s="30"/>
      <c r="L39" s="30" t="s">
        <v>84</v>
      </c>
      <c r="M39" s="30"/>
      <c r="N39" s="30"/>
    </row>
    <row r="40" spans="1:14" ht="21.75" customHeight="1">
      <c r="A40" s="29" t="s">
        <v>85</v>
      </c>
      <c r="B40" s="29"/>
      <c r="C40" s="29"/>
      <c r="D40" s="29"/>
      <c r="E40" s="29"/>
      <c r="F40" s="30"/>
      <c r="G40" s="30"/>
      <c r="H40" s="30"/>
      <c r="I40" s="30"/>
      <c r="J40" s="30"/>
      <c r="K40" s="30"/>
      <c r="L40" s="30" t="s">
        <v>84</v>
      </c>
      <c r="M40" s="30"/>
      <c r="N40" s="30"/>
    </row>
    <row r="41" spans="1:14" ht="21.75" customHeight="1">
      <c r="A41" s="29" t="s">
        <v>86</v>
      </c>
      <c r="B41" s="29"/>
      <c r="C41" s="29"/>
      <c r="D41" s="29"/>
      <c r="E41" s="29"/>
      <c r="F41" s="30"/>
      <c r="G41" s="30"/>
      <c r="H41" s="30"/>
      <c r="I41" s="30"/>
      <c r="J41" s="30"/>
      <c r="K41" s="30"/>
      <c r="L41" s="30" t="s">
        <v>84</v>
      </c>
      <c r="M41" s="30"/>
      <c r="N41" s="30"/>
    </row>
    <row r="42" spans="1:14" ht="21.75" customHeight="1">
      <c r="A42" s="29" t="s">
        <v>87</v>
      </c>
      <c r="B42" s="29"/>
      <c r="C42" s="29"/>
      <c r="D42" s="29"/>
      <c r="E42" s="29"/>
      <c r="F42" s="30"/>
      <c r="G42" s="30"/>
      <c r="H42" s="30"/>
      <c r="I42" s="30"/>
      <c r="J42" s="30"/>
      <c r="K42" s="30"/>
      <c r="L42" s="30" t="s">
        <v>84</v>
      </c>
      <c r="M42" s="30"/>
      <c r="N42" s="30"/>
    </row>
    <row r="43" spans="1:14" ht="21.75" customHeight="1">
      <c r="A43" s="29" t="s">
        <v>88</v>
      </c>
      <c r="B43" s="29"/>
      <c r="C43" s="29"/>
      <c r="D43" s="29"/>
      <c r="E43" s="29"/>
      <c r="F43" s="30"/>
      <c r="G43" s="30"/>
      <c r="H43" s="30"/>
      <c r="I43" s="30"/>
      <c r="J43" s="30"/>
      <c r="K43" s="30"/>
      <c r="L43" s="30" t="s">
        <v>84</v>
      </c>
      <c r="M43" s="30"/>
      <c r="N43" s="30"/>
    </row>
    <row r="44" spans="1:14" ht="21.75" customHeight="1">
      <c r="A44" s="29"/>
      <c r="B44" s="29"/>
      <c r="C44" s="29"/>
      <c r="D44" s="29"/>
      <c r="E44" s="29"/>
      <c r="F44" s="30"/>
      <c r="G44" s="30"/>
      <c r="H44" s="30"/>
      <c r="I44" s="30"/>
      <c r="J44" s="30"/>
      <c r="K44" s="30"/>
      <c r="L44" s="30"/>
      <c r="M44" s="30"/>
      <c r="N44" s="30"/>
    </row>
    <row r="45" spans="1:14" ht="21.75" customHeight="1">
      <c r="A45" s="29"/>
      <c r="B45" s="29"/>
      <c r="C45" s="29"/>
      <c r="D45" s="29"/>
      <c r="E45" s="29"/>
      <c r="F45" s="30"/>
      <c r="G45" s="30"/>
      <c r="H45" s="30"/>
      <c r="I45" s="30"/>
      <c r="J45" s="30"/>
      <c r="K45" s="30"/>
      <c r="L45" s="30"/>
      <c r="M45" s="30"/>
      <c r="N45" s="30"/>
    </row>
    <row r="46" spans="1:14" ht="21.75" customHeight="1">
      <c r="A46" s="29"/>
      <c r="B46" s="29"/>
      <c r="C46" s="29"/>
      <c r="D46" s="29"/>
      <c r="E46" s="29"/>
      <c r="F46" s="30"/>
      <c r="G46" s="30"/>
      <c r="H46" s="30"/>
      <c r="I46" s="30"/>
      <c r="J46" s="30"/>
      <c r="K46" s="30"/>
      <c r="L46" s="30"/>
      <c r="M46" s="30"/>
      <c r="N46" s="30"/>
    </row>
    <row r="48" spans="1:14" ht="21.75" customHeight="1">
      <c r="A48" s="26" t="s">
        <v>89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ht="36" customHeight="1">
      <c r="A49" s="27" t="s">
        <v>105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1" spans="1:14" ht="39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>
      <c r="A52" s="28" t="s">
        <v>91</v>
      </c>
      <c r="B52" s="28"/>
      <c r="C52" s="28"/>
      <c r="D52" s="28"/>
      <c r="E52" s="28"/>
      <c r="F52" s="28"/>
      <c r="G52" s="28"/>
      <c r="H52" s="28" t="s">
        <v>92</v>
      </c>
      <c r="I52" s="28"/>
      <c r="J52" s="28"/>
      <c r="K52" s="28"/>
      <c r="L52" s="28"/>
      <c r="M52" s="28"/>
      <c r="N52" s="28"/>
    </row>
    <row r="54" spans="1:14" ht="21.75" customHeight="1">
      <c r="A54" s="25" t="s">
        <v>39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</sheetData>
  <mergeCells count="87">
    <mergeCell ref="A1:N1"/>
    <mergeCell ref="A2:N2"/>
    <mergeCell ref="A3:N3"/>
    <mergeCell ref="A5:N5"/>
    <mergeCell ref="A6:C6"/>
    <mergeCell ref="D6:F6"/>
    <mergeCell ref="G6:H6"/>
    <mergeCell ref="I6:K6"/>
    <mergeCell ref="A7:C7"/>
    <mergeCell ref="D7:F7"/>
    <mergeCell ref="G7:H7"/>
    <mergeCell ref="I7:K7"/>
    <mergeCell ref="A9:N9"/>
    <mergeCell ref="A26:D26"/>
    <mergeCell ref="A28:N28"/>
    <mergeCell ref="B29:G29"/>
    <mergeCell ref="H29:J29"/>
    <mergeCell ref="K29:L29"/>
    <mergeCell ref="M29:N29"/>
    <mergeCell ref="B30:G30"/>
    <mergeCell ref="H30:J30"/>
    <mergeCell ref="K30:L30"/>
    <mergeCell ref="M30:N30"/>
    <mergeCell ref="B31:G31"/>
    <mergeCell ref="H31:J31"/>
    <mergeCell ref="K31:L31"/>
    <mergeCell ref="M31:N31"/>
    <mergeCell ref="B32:G32"/>
    <mergeCell ref="H32:J32"/>
    <mergeCell ref="K32:L32"/>
    <mergeCell ref="M32:N32"/>
    <mergeCell ref="B33:G33"/>
    <mergeCell ref="H33:J33"/>
    <mergeCell ref="K33:L33"/>
    <mergeCell ref="M33:N33"/>
    <mergeCell ref="B34:G34"/>
    <mergeCell ref="H34:J34"/>
    <mergeCell ref="K34:L34"/>
    <mergeCell ref="M34:N34"/>
    <mergeCell ref="B35:G35"/>
    <mergeCell ref="H35:J35"/>
    <mergeCell ref="K35:L35"/>
    <mergeCell ref="M35:N35"/>
    <mergeCell ref="A37:N37"/>
    <mergeCell ref="A38:E38"/>
    <mergeCell ref="F38:H38"/>
    <mergeCell ref="I38:K38"/>
    <mergeCell ref="L38:N38"/>
    <mergeCell ref="A39:E39"/>
    <mergeCell ref="F39:H39"/>
    <mergeCell ref="I39:K39"/>
    <mergeCell ref="L39:N39"/>
    <mergeCell ref="A40:E40"/>
    <mergeCell ref="F40:H40"/>
    <mergeCell ref="I40:K40"/>
    <mergeCell ref="L40:N40"/>
    <mergeCell ref="A41:E41"/>
    <mergeCell ref="F41:H41"/>
    <mergeCell ref="I41:K41"/>
    <mergeCell ref="L41:N41"/>
    <mergeCell ref="A42:E42"/>
    <mergeCell ref="F42:H42"/>
    <mergeCell ref="I42:K42"/>
    <mergeCell ref="L42:N42"/>
    <mergeCell ref="A43:E43"/>
    <mergeCell ref="F43:H43"/>
    <mergeCell ref="I43:K43"/>
    <mergeCell ref="L43:N43"/>
    <mergeCell ref="A44:E44"/>
    <mergeCell ref="F44:H44"/>
    <mergeCell ref="I44:K44"/>
    <mergeCell ref="L44:N44"/>
    <mergeCell ref="A45:E45"/>
    <mergeCell ref="F45:H45"/>
    <mergeCell ref="I45:K45"/>
    <mergeCell ref="L45:N45"/>
    <mergeCell ref="A46:E46"/>
    <mergeCell ref="F46:H46"/>
    <mergeCell ref="I46:K46"/>
    <mergeCell ref="L46:N46"/>
    <mergeCell ref="A54:N54"/>
    <mergeCell ref="A48:N48"/>
    <mergeCell ref="A49:N49"/>
    <mergeCell ref="A51:G51"/>
    <mergeCell ref="H51:N51"/>
    <mergeCell ref="A52:G52"/>
    <mergeCell ref="H52:N52"/>
  </mergeCells>
  <dataValidations count="5">
    <dataValidation type="list" allowBlank="1" sqref="C11:C25" xr:uid="{00000000-0002-0000-0200-000000000000}">
      <formula1>"AHORRO,INGRESO,MIXTA"</formula1>
      <formula2>0</formula2>
    </dataValidation>
    <dataValidation type="list" allowBlank="1" sqref="D11:D25" xr:uid="{00000000-0002-0000-0200-000001000000}">
      <formula1>"Renegociación proveedor,Cambio proveedor,Digitalización,Optimización proceso,Reducción consumo,Tecnología,Nueva fuente ingreso,B2B / Corporativo,Monetización activos,Servicios afiliados,Cumplimiento normativo,Otro"</formula1>
      <formula2>0</formula2>
    </dataValidation>
    <dataValidation type="list" allowBlank="1" sqref="M11:M25" xr:uid="{00000000-0002-0000-0200-000002000000}">
      <formula1>"Propuesta,Análisis,En análisis,Cotización,Negociación,Diseño,Piloto,En curso,Gestión,Por desarrollar,Materializado,Confirmado,Aprobado,Cancelado"</formula1>
      <formula2>0</formula2>
    </dataValidation>
    <dataValidation type="list" allowBlank="1" sqref="M30:M35" xr:uid="{00000000-0002-0000-0200-000003000000}">
      <formula1>"Pendiente,En curso,Completado"</formula1>
      <formula2>0</formula2>
    </dataValidation>
    <dataValidation type="list" allowBlank="1" sqref="L39:L46" xr:uid="{00000000-0002-0000-0200-000004000000}">
      <formula1>"Semanal,Quincenal,Mensual"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4"/>
  <sheetViews>
    <sheetView showGridLines="0" topLeftCell="A15" zoomScaleNormal="100" workbookViewId="0">
      <selection activeCell="H19" sqref="H19"/>
    </sheetView>
  </sheetViews>
  <sheetFormatPr defaultColWidth="8.7109375" defaultRowHeight="15"/>
  <cols>
    <col min="1" max="1" width="4" customWidth="1"/>
    <col min="2" max="2" width="36" customWidth="1"/>
    <col min="3" max="3" width="10" customWidth="1"/>
    <col min="4" max="4" width="16" customWidth="1"/>
    <col min="5" max="8" width="12" customWidth="1"/>
    <col min="9" max="9" width="13" customWidth="1"/>
    <col min="10" max="10" width="11" customWidth="1"/>
    <col min="11" max="12" width="9" customWidth="1"/>
    <col min="13" max="13" width="13" customWidth="1"/>
    <col min="14" max="14" width="22" customWidth="1"/>
  </cols>
  <sheetData>
    <row r="1" spans="1:14" ht="18" customHeight="1">
      <c r="A1" s="37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31.5" customHeight="1">
      <c r="A2" s="38" t="s">
        <v>106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" customHeight="1">
      <c r="A3" s="39" t="s">
        <v>42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spans="1:14" ht="24" customHeight="1">
      <c r="A5" s="26" t="s">
        <v>43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21.75" customHeight="1">
      <c r="A6" s="40" t="s">
        <v>44</v>
      </c>
      <c r="B6" s="40"/>
      <c r="C6" s="40"/>
      <c r="D6" s="40" t="s">
        <v>45</v>
      </c>
      <c r="E6" s="40"/>
      <c r="F6" s="40"/>
      <c r="G6" s="40" t="s">
        <v>46</v>
      </c>
      <c r="H6" s="40"/>
      <c r="I6" s="40" t="s">
        <v>47</v>
      </c>
      <c r="J6" s="40"/>
      <c r="K6" s="40"/>
    </row>
    <row r="7" spans="1:14" ht="24" customHeight="1">
      <c r="A7" s="29"/>
      <c r="B7" s="29"/>
      <c r="C7" s="29"/>
      <c r="D7" s="34"/>
      <c r="E7" s="34"/>
      <c r="F7" s="34"/>
      <c r="G7" s="35">
        <f>COUNTA(B11:B25)</f>
        <v>9</v>
      </c>
      <c r="H7" s="35"/>
      <c r="I7" s="36">
        <f>SUM(I11:I25)</f>
        <v>74093466</v>
      </c>
      <c r="J7" s="36"/>
      <c r="K7" s="36"/>
    </row>
    <row r="9" spans="1:14" ht="24" customHeight="1">
      <c r="A9" s="26" t="s">
        <v>48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31.5" customHeight="1">
      <c r="A10" s="11" t="s">
        <v>49</v>
      </c>
      <c r="B10" s="11" t="s">
        <v>50</v>
      </c>
      <c r="C10" s="11" t="s">
        <v>51</v>
      </c>
      <c r="D10" s="11" t="s">
        <v>52</v>
      </c>
      <c r="E10" s="11" t="s">
        <v>53</v>
      </c>
      <c r="F10" s="11" t="s">
        <v>54</v>
      </c>
      <c r="G10" s="11" t="s">
        <v>55</v>
      </c>
      <c r="H10" s="11" t="s">
        <v>56</v>
      </c>
      <c r="I10" s="11" t="s">
        <v>57</v>
      </c>
      <c r="J10" s="11" t="s">
        <v>58</v>
      </c>
      <c r="K10" s="11" t="s">
        <v>59</v>
      </c>
      <c r="L10" s="11" t="s">
        <v>60</v>
      </c>
      <c r="M10" s="11" t="s">
        <v>61</v>
      </c>
      <c r="N10" s="11" t="s">
        <v>62</v>
      </c>
    </row>
    <row r="11" spans="1:14" ht="36" customHeight="1">
      <c r="A11" s="12">
        <v>1</v>
      </c>
      <c r="B11" s="2" t="s">
        <v>107</v>
      </c>
      <c r="C11" s="13" t="s">
        <v>64</v>
      </c>
      <c r="D11" s="2" t="s">
        <v>68</v>
      </c>
      <c r="E11" s="14"/>
      <c r="F11" s="14"/>
      <c r="G11" s="14"/>
      <c r="H11" s="15">
        <f>IFERROR(IF(OR(E11="",F11="",G11=""),0,ROUND((E11+4*F11+G11)/6,0)),0)</f>
        <v>0</v>
      </c>
      <c r="I11" s="10">
        <f>H11*12</f>
        <v>0</v>
      </c>
      <c r="J11" s="14"/>
      <c r="K11" s="1" t="str">
        <f>IFERROR(IF(AND(H11&gt;0,J11&gt;0),ROUND(J11/H11,1),"-"),"-")</f>
        <v>-</v>
      </c>
      <c r="L11" s="16" t="str">
        <f>IFERROR(IF(J11&gt;0,(I11-J11)/J11,""),"")</f>
        <v/>
      </c>
      <c r="M11" s="13" t="s">
        <v>108</v>
      </c>
      <c r="N11" s="2"/>
    </row>
    <row r="12" spans="1:14" ht="36" customHeight="1">
      <c r="A12" s="12">
        <v>2</v>
      </c>
      <c r="B12" s="2" t="s">
        <v>109</v>
      </c>
      <c r="C12" s="13" t="s">
        <v>64</v>
      </c>
      <c r="D12" s="2" t="s">
        <v>65</v>
      </c>
      <c r="E12" s="14">
        <v>916667</v>
      </c>
      <c r="F12" s="14">
        <v>916667</v>
      </c>
      <c r="G12" s="14">
        <v>916667</v>
      </c>
      <c r="H12" s="15">
        <f>IFERROR(IF(OR(E12="",F12="",G12=""),0,ROUND((E12+4*F12+G12)/6,0)),0)</f>
        <v>916667</v>
      </c>
      <c r="I12" s="10">
        <f>H12*12</f>
        <v>11000004</v>
      </c>
      <c r="J12" s="14"/>
      <c r="K12" s="1" t="str">
        <f>IFERROR(IF(AND(H12&gt;0,J12&gt;0),ROUND(J12/H12,1),"-"),"-")</f>
        <v>-</v>
      </c>
      <c r="L12" s="16" t="str">
        <f>IFERROR(IF(J12&gt;0,(I12-J12)/J12,""),"")</f>
        <v/>
      </c>
      <c r="M12" s="13" t="s">
        <v>108</v>
      </c>
      <c r="N12" s="2"/>
    </row>
    <row r="13" spans="1:14" ht="36" customHeight="1">
      <c r="A13" s="12">
        <v>3</v>
      </c>
      <c r="B13" s="2" t="s">
        <v>110</v>
      </c>
      <c r="C13" s="13" t="s">
        <v>64</v>
      </c>
      <c r="D13" s="2" t="s">
        <v>65</v>
      </c>
      <c r="E13" s="14">
        <v>800000</v>
      </c>
      <c r="F13" s="14">
        <v>800000</v>
      </c>
      <c r="G13" s="14">
        <v>800000</v>
      </c>
      <c r="H13" s="15">
        <f>IFERROR(IF(OR(E13="",F13="",G13=""),0,ROUND((E13+4*F13+G13)/6,0)),0)</f>
        <v>800000</v>
      </c>
      <c r="I13" s="10">
        <f>H13*12</f>
        <v>9600000</v>
      </c>
      <c r="J13" s="14"/>
      <c r="K13" s="1" t="str">
        <f>IFERROR(IF(AND(H13&gt;0,J13&gt;0),ROUND(J13/H13,1),"-"),"-")</f>
        <v>-</v>
      </c>
      <c r="L13" s="16" t="str">
        <f>IFERROR(IF(J13&gt;0,(I13-J13)/J13,""),"")</f>
        <v/>
      </c>
      <c r="M13" s="13" t="s">
        <v>108</v>
      </c>
      <c r="N13" s="2"/>
    </row>
    <row r="14" spans="1:14" ht="36" customHeight="1">
      <c r="A14" s="12">
        <v>4</v>
      </c>
      <c r="B14" s="2" t="s">
        <v>111</v>
      </c>
      <c r="C14" s="13" t="s">
        <v>64</v>
      </c>
      <c r="D14" s="2" t="s">
        <v>68</v>
      </c>
      <c r="E14" s="14"/>
      <c r="F14" s="14"/>
      <c r="G14" s="14"/>
      <c r="H14" s="15">
        <f>IFERROR(IF(OR(E14="",F14="",G14=""),0,ROUND((E14+4*F14+G14)/6,0)),0)</f>
        <v>0</v>
      </c>
      <c r="I14" s="10">
        <f>H14*12</f>
        <v>0</v>
      </c>
      <c r="J14" s="14"/>
      <c r="K14" s="1" t="str">
        <f>IFERROR(IF(AND(H14&gt;0,J14&gt;0),ROUND(J14/H14,1),"-"),"-")</f>
        <v>-</v>
      </c>
      <c r="L14" s="16" t="str">
        <f>IFERROR(IF(J14&gt;0,(I14-J14)/J14,""),"")</f>
        <v/>
      </c>
      <c r="M14" s="13" t="s">
        <v>72</v>
      </c>
      <c r="N14" s="2"/>
    </row>
    <row r="15" spans="1:14" ht="36" customHeight="1">
      <c r="A15" s="12">
        <v>5</v>
      </c>
      <c r="B15" s="2" t="s">
        <v>112</v>
      </c>
      <c r="C15" s="13" t="s">
        <v>64</v>
      </c>
      <c r="D15" s="2" t="s">
        <v>95</v>
      </c>
      <c r="E15" s="14"/>
      <c r="F15" s="14"/>
      <c r="G15" s="14"/>
      <c r="H15" s="15">
        <f>IFERROR(IF(OR(E15="",F15="",G15=""),0,ROUND((E15+4*F15+G15)/6,0)),0)</f>
        <v>0</v>
      </c>
      <c r="I15" s="10">
        <f>H15*12</f>
        <v>0</v>
      </c>
      <c r="J15" s="14"/>
      <c r="K15" s="1" t="str">
        <f>IFERROR(IF(AND(H15&gt;0,J15&gt;0),ROUND(J15/H15,1),"-"),"-")</f>
        <v>-</v>
      </c>
      <c r="L15" s="16" t="str">
        <f>IFERROR(IF(J15&gt;0,(I15-J15)/J15,""),"")</f>
        <v/>
      </c>
      <c r="M15" s="13" t="s">
        <v>99</v>
      </c>
      <c r="N15" s="2"/>
    </row>
    <row r="16" spans="1:14" ht="36" customHeight="1">
      <c r="A16" s="12">
        <v>6</v>
      </c>
      <c r="B16" s="2" t="s">
        <v>113</v>
      </c>
      <c r="C16" s="13" t="s">
        <v>64</v>
      </c>
      <c r="D16" s="2" t="s">
        <v>114</v>
      </c>
      <c r="E16" s="14"/>
      <c r="F16" s="14"/>
      <c r="G16" s="14"/>
      <c r="H16" s="15">
        <f>IFERROR(IF(OR(E16="",F16="",G16=""),0,ROUND((E16+4*F16+G16)/6,0)),0)</f>
        <v>0</v>
      </c>
      <c r="I16" s="10">
        <f>H16*12</f>
        <v>0</v>
      </c>
      <c r="J16" s="14"/>
      <c r="K16" s="1" t="str">
        <f>IFERROR(IF(AND(H16&gt;0,J16&gt;0),ROUND(J16/H16,1),"-"),"-")</f>
        <v>-</v>
      </c>
      <c r="L16" s="16" t="str">
        <f>IFERROR(IF(J16&gt;0,(I16-J16)/J16,""),"")</f>
        <v/>
      </c>
      <c r="M16" s="13" t="s">
        <v>115</v>
      </c>
      <c r="N16" s="2"/>
    </row>
    <row r="17" spans="1:14" ht="46.5" customHeight="1">
      <c r="A17" s="12">
        <v>7</v>
      </c>
      <c r="B17" s="2" t="s">
        <v>116</v>
      </c>
      <c r="C17" s="13" t="s">
        <v>64</v>
      </c>
      <c r="D17" s="2" t="s">
        <v>114</v>
      </c>
      <c r="E17" s="14"/>
      <c r="F17" s="14"/>
      <c r="G17" s="14"/>
      <c r="H17" s="15">
        <f>IFERROR(IF(OR(E17="",F17="",G17=""),0,ROUND((E17+4*F17+G17)/6,0)),0)</f>
        <v>0</v>
      </c>
      <c r="I17" s="10">
        <f>H17*12</f>
        <v>0</v>
      </c>
      <c r="J17" s="14"/>
      <c r="K17" s="1" t="str">
        <f>IFERROR(IF(AND(H17&gt;0,J17&gt;0),ROUND(J17/H17,1),"-"),"-")</f>
        <v>-</v>
      </c>
      <c r="L17" s="16" t="str">
        <f>IFERROR(IF(J17&gt;0,(I17-J17)/J17,""),"")</f>
        <v/>
      </c>
      <c r="M17" s="13" t="s">
        <v>115</v>
      </c>
      <c r="N17" s="2"/>
    </row>
    <row r="18" spans="1:14" ht="36" customHeight="1">
      <c r="A18" s="12">
        <v>8</v>
      </c>
      <c r="B18" s="2" t="s">
        <v>117</v>
      </c>
      <c r="C18" s="13" t="s">
        <v>64</v>
      </c>
      <c r="D18" s="2" t="s">
        <v>118</v>
      </c>
      <c r="E18" s="14">
        <v>2730006</v>
      </c>
      <c r="F18" s="14">
        <v>2730006</v>
      </c>
      <c r="G18" s="14">
        <v>2730006</v>
      </c>
      <c r="H18" s="14">
        <v>2730006</v>
      </c>
      <c r="I18" s="10">
        <f>H18*7</f>
        <v>19110042</v>
      </c>
      <c r="J18" s="14"/>
      <c r="K18" s="1" t="str">
        <f>IFERROR(IF(AND(H18&gt;0,J18&gt;0),ROUND(J18/H18,1),"-"),"-")</f>
        <v>-</v>
      </c>
      <c r="L18" s="16" t="str">
        <f>IFERROR(IF(J18&gt;0,(I18-J18)/J18,""),"")</f>
        <v/>
      </c>
      <c r="M18" s="13" t="s">
        <v>99</v>
      </c>
      <c r="N18" s="2"/>
    </row>
    <row r="19" spans="1:14" ht="36" customHeight="1">
      <c r="A19" s="12">
        <v>9</v>
      </c>
      <c r="B19" s="2" t="s">
        <v>119</v>
      </c>
      <c r="C19" s="13" t="s">
        <v>64</v>
      </c>
      <c r="D19" s="2" t="s">
        <v>68</v>
      </c>
      <c r="E19" s="14">
        <v>4969600</v>
      </c>
      <c r="F19" s="14">
        <v>5730570</v>
      </c>
      <c r="G19" s="14">
        <v>6522600</v>
      </c>
      <c r="H19" s="14">
        <v>5730570</v>
      </c>
      <c r="I19" s="10">
        <f>H19*6</f>
        <v>34383420</v>
      </c>
      <c r="J19" s="14"/>
      <c r="K19" s="1" t="str">
        <f>IFERROR(IF(AND(H19&gt;0,J19&gt;0),ROUND(J19/H19,1),"-"),"-")</f>
        <v>-</v>
      </c>
      <c r="L19" s="16" t="str">
        <f>IFERROR(IF(J19&gt;0,(I19-J19)/J19,""),"")</f>
        <v/>
      </c>
      <c r="M19" s="13" t="s">
        <v>99</v>
      </c>
      <c r="N19" s="2"/>
    </row>
    <row r="20" spans="1:14" ht="36" customHeight="1">
      <c r="A20" s="12">
        <v>10</v>
      </c>
      <c r="B20" s="2"/>
      <c r="C20" s="13"/>
      <c r="D20" s="2"/>
      <c r="E20" s="14"/>
      <c r="F20" s="14"/>
      <c r="G20" s="14"/>
      <c r="H20" s="15">
        <f>IFERROR(IF(OR(E20="",F20="",G20=""),0,ROUND((E20+4*F20+G20)/6,0)),0)</f>
        <v>0</v>
      </c>
      <c r="I20" s="10">
        <f>H20*12</f>
        <v>0</v>
      </c>
      <c r="J20" s="14"/>
      <c r="K20" s="1" t="str">
        <f>IFERROR(IF(AND(H20&gt;0,J20&gt;0),ROUND(J20/H20,1),"-"),"-")</f>
        <v>-</v>
      </c>
      <c r="L20" s="16" t="str">
        <f>IFERROR(IF(J20&gt;0,(I20-J20)/J20,""),"")</f>
        <v/>
      </c>
      <c r="M20" s="13"/>
      <c r="N20" s="2"/>
    </row>
    <row r="21" spans="1:14" ht="36" customHeight="1">
      <c r="A21" s="12">
        <v>11</v>
      </c>
      <c r="B21" s="2"/>
      <c r="C21" s="13"/>
      <c r="D21" s="2"/>
      <c r="E21" s="14"/>
      <c r="F21" s="14"/>
      <c r="G21" s="14"/>
      <c r="H21" s="15">
        <f>IFERROR(IF(OR(E21="",F21="",G21=""),0,ROUND((E21+4*F21+G21)/6,0)),0)</f>
        <v>0</v>
      </c>
      <c r="I21" s="10">
        <f>H21*12</f>
        <v>0</v>
      </c>
      <c r="J21" s="14"/>
      <c r="K21" s="1" t="str">
        <f>IFERROR(IF(AND(H21&gt;0,J21&gt;0),ROUND(J21/H21,1),"-"),"-")</f>
        <v>-</v>
      </c>
      <c r="L21" s="16" t="str">
        <f>IFERROR(IF(J21&gt;0,(I21-J21)/J21,""),"")</f>
        <v/>
      </c>
      <c r="M21" s="13"/>
      <c r="N21" s="2"/>
    </row>
    <row r="22" spans="1:14" ht="36" customHeight="1">
      <c r="A22" s="12">
        <v>12</v>
      </c>
      <c r="B22" s="2"/>
      <c r="C22" s="13"/>
      <c r="D22" s="2"/>
      <c r="E22" s="14"/>
      <c r="F22" s="14"/>
      <c r="G22" s="14"/>
      <c r="H22" s="15">
        <f>IFERROR(IF(OR(E22="",F22="",G22=""),0,ROUND((E22+4*F22+G22)/6,0)),0)</f>
        <v>0</v>
      </c>
      <c r="I22" s="10">
        <f>H22*12</f>
        <v>0</v>
      </c>
      <c r="J22" s="14"/>
      <c r="K22" s="1" t="str">
        <f>IFERROR(IF(AND(H22&gt;0,J22&gt;0),ROUND(J22/H22,1),"-"),"-")</f>
        <v>-</v>
      </c>
      <c r="L22" s="16" t="str">
        <f>IFERROR(IF(J22&gt;0,(I22-J22)/J22,""),"")</f>
        <v/>
      </c>
      <c r="M22" s="13"/>
      <c r="N22" s="2"/>
    </row>
    <row r="23" spans="1:14" ht="36" customHeight="1">
      <c r="A23" s="12">
        <v>13</v>
      </c>
      <c r="B23" s="2"/>
      <c r="C23" s="13"/>
      <c r="D23" s="2"/>
      <c r="E23" s="14"/>
      <c r="F23" s="14"/>
      <c r="G23" s="14"/>
      <c r="H23" s="15">
        <f>IFERROR(IF(OR(E23="",F23="",G23=""),0,ROUND((E23+4*F23+G23)/6,0)),0)</f>
        <v>0</v>
      </c>
      <c r="I23" s="10">
        <f>H23*12</f>
        <v>0</v>
      </c>
      <c r="J23" s="14"/>
      <c r="K23" s="1" t="str">
        <f>IFERROR(IF(AND(H23&gt;0,J23&gt;0),ROUND(J23/H23,1),"-"),"-")</f>
        <v>-</v>
      </c>
      <c r="L23" s="16" t="str">
        <f>IFERROR(IF(J23&gt;0,(I23-J23)/J23,""),"")</f>
        <v/>
      </c>
      <c r="M23" s="13"/>
      <c r="N23" s="2"/>
    </row>
    <row r="24" spans="1:14" ht="36" customHeight="1">
      <c r="A24" s="12">
        <v>14</v>
      </c>
      <c r="B24" s="2"/>
      <c r="C24" s="13"/>
      <c r="D24" s="2"/>
      <c r="E24" s="14"/>
      <c r="F24" s="14"/>
      <c r="G24" s="14"/>
      <c r="H24" s="15">
        <f>IFERROR(IF(OR(E24="",F24="",G24=""),0,ROUND((E24+4*F24+G24)/6,0)),0)</f>
        <v>0</v>
      </c>
      <c r="I24" s="10">
        <f>H24*12</f>
        <v>0</v>
      </c>
      <c r="J24" s="14"/>
      <c r="K24" s="1" t="str">
        <f>IFERROR(IF(AND(H24&gt;0,J24&gt;0),ROUND(J24/H24,1),"-"),"-")</f>
        <v>-</v>
      </c>
      <c r="L24" s="16" t="str">
        <f>IFERROR(IF(J24&gt;0,(I24-J24)/J24,""),"")</f>
        <v/>
      </c>
      <c r="M24" s="13"/>
      <c r="N24" s="2"/>
    </row>
    <row r="25" spans="1:14" ht="36" customHeight="1">
      <c r="A25" s="12">
        <v>15</v>
      </c>
      <c r="B25" s="2"/>
      <c r="C25" s="13"/>
      <c r="D25" s="2"/>
      <c r="E25" s="14"/>
      <c r="F25" s="14"/>
      <c r="G25" s="14"/>
      <c r="H25" s="15">
        <f>IFERROR(IF(OR(E25="",F25="",G25=""),0,ROUND((E25+4*F25+G25)/6,0)),0)</f>
        <v>0</v>
      </c>
      <c r="I25" s="10">
        <f>H25*12</f>
        <v>0</v>
      </c>
      <c r="J25" s="14"/>
      <c r="K25" s="1" t="str">
        <f>IFERROR(IF(AND(H25&gt;0,J25&gt;0),ROUND(J25/H25,1),"-"),"-")</f>
        <v>-</v>
      </c>
      <c r="L25" s="16" t="str">
        <f>IFERROR(IF(J25&gt;0,(I25-J25)/J25,""),"")</f>
        <v/>
      </c>
      <c r="M25" s="13"/>
      <c r="N25" s="2"/>
    </row>
    <row r="26" spans="1:14" ht="27.75" customHeight="1">
      <c r="A26" s="33" t="s">
        <v>73</v>
      </c>
      <c r="B26" s="33"/>
      <c r="C26" s="33"/>
      <c r="D26" s="33"/>
      <c r="E26" s="18">
        <f>SUM(E11:E25)</f>
        <v>9416273</v>
      </c>
      <c r="F26" s="18">
        <f>SUM(F11:F25)</f>
        <v>10177243</v>
      </c>
      <c r="G26" s="18">
        <f>SUM(G11:G25)</f>
        <v>10969273</v>
      </c>
      <c r="H26" s="18">
        <f>SUM(H11:H25)</f>
        <v>10177243</v>
      </c>
      <c r="I26" s="18">
        <f>SUM(I11:I25)</f>
        <v>74093466</v>
      </c>
      <c r="J26" s="18">
        <f>SUM(J11:J25)</f>
        <v>0</v>
      </c>
      <c r="K26" s="19"/>
      <c r="L26" s="19"/>
      <c r="M26" s="19"/>
      <c r="N26" s="19"/>
    </row>
    <row r="28" spans="1:14" ht="21.75" customHeight="1">
      <c r="A28" s="26" t="s">
        <v>74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4" ht="21.75" customHeight="1">
      <c r="A29" s="11" t="s">
        <v>49</v>
      </c>
      <c r="B29" s="31" t="s">
        <v>75</v>
      </c>
      <c r="C29" s="31"/>
      <c r="D29" s="31"/>
      <c r="E29" s="31"/>
      <c r="F29" s="31"/>
      <c r="G29" s="31"/>
      <c r="H29" s="31" t="s">
        <v>76</v>
      </c>
      <c r="I29" s="31"/>
      <c r="J29" s="31"/>
      <c r="K29" s="31" t="s">
        <v>77</v>
      </c>
      <c r="L29" s="31"/>
      <c r="M29" s="31" t="s">
        <v>61</v>
      </c>
      <c r="N29" s="31"/>
    </row>
    <row r="30" spans="1:14" ht="24" customHeight="1">
      <c r="A30" s="12">
        <v>1</v>
      </c>
      <c r="B30" s="29"/>
      <c r="C30" s="29"/>
      <c r="D30" s="29"/>
      <c r="E30" s="29"/>
      <c r="F30" s="29"/>
      <c r="G30" s="29"/>
      <c r="H30" s="29"/>
      <c r="I30" s="29"/>
      <c r="J30" s="29"/>
      <c r="K30" s="32"/>
      <c r="L30" s="32"/>
      <c r="M30" s="30"/>
      <c r="N30" s="30"/>
    </row>
    <row r="31" spans="1:14" ht="24" customHeight="1">
      <c r="A31" s="12">
        <v>2</v>
      </c>
      <c r="B31" s="29"/>
      <c r="C31" s="29"/>
      <c r="D31" s="29"/>
      <c r="E31" s="29"/>
      <c r="F31" s="29"/>
      <c r="G31" s="29"/>
      <c r="H31" s="29"/>
      <c r="I31" s="29"/>
      <c r="J31" s="29"/>
      <c r="K31" s="32"/>
      <c r="L31" s="32"/>
      <c r="M31" s="30"/>
      <c r="N31" s="30"/>
    </row>
    <row r="32" spans="1:14" ht="24" customHeight="1">
      <c r="A32" s="12">
        <v>3</v>
      </c>
      <c r="B32" s="29"/>
      <c r="C32" s="29"/>
      <c r="D32" s="29"/>
      <c r="E32" s="29"/>
      <c r="F32" s="29"/>
      <c r="G32" s="29"/>
      <c r="H32" s="29"/>
      <c r="I32" s="29"/>
      <c r="J32" s="29"/>
      <c r="K32" s="32"/>
      <c r="L32" s="32"/>
      <c r="M32" s="30"/>
      <c r="N32" s="30"/>
    </row>
    <row r="33" spans="1:14" ht="24" customHeight="1">
      <c r="A33" s="12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32"/>
      <c r="L33" s="32"/>
      <c r="M33" s="30"/>
      <c r="N33" s="30"/>
    </row>
    <row r="34" spans="1:14" ht="24" customHeight="1">
      <c r="A34" s="12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32"/>
      <c r="L34" s="32"/>
      <c r="M34" s="30"/>
      <c r="N34" s="30"/>
    </row>
    <row r="35" spans="1:14" ht="24" customHeight="1">
      <c r="A35" s="12">
        <v>6</v>
      </c>
      <c r="B35" s="29"/>
      <c r="C35" s="29"/>
      <c r="D35" s="29"/>
      <c r="E35" s="29"/>
      <c r="F35" s="29"/>
      <c r="G35" s="29"/>
      <c r="H35" s="29"/>
      <c r="I35" s="29"/>
      <c r="J35" s="29"/>
      <c r="K35" s="32"/>
      <c r="L35" s="32"/>
      <c r="M35" s="30"/>
      <c r="N35" s="30"/>
    </row>
    <row r="37" spans="1:14" ht="21.75" customHeight="1">
      <c r="A37" s="26" t="s">
        <v>78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ht="21.75" customHeight="1">
      <c r="A38" s="31" t="s">
        <v>79</v>
      </c>
      <c r="B38" s="31"/>
      <c r="C38" s="31"/>
      <c r="D38" s="31"/>
      <c r="E38" s="31"/>
      <c r="F38" s="31" t="s">
        <v>80</v>
      </c>
      <c r="G38" s="31"/>
      <c r="H38" s="31"/>
      <c r="I38" s="31" t="s">
        <v>81</v>
      </c>
      <c r="J38" s="31"/>
      <c r="K38" s="31"/>
      <c r="L38" s="31" t="s">
        <v>82</v>
      </c>
      <c r="M38" s="31"/>
      <c r="N38" s="31"/>
    </row>
    <row r="39" spans="1:14" ht="21.75" customHeight="1">
      <c r="A39" s="29" t="s">
        <v>83</v>
      </c>
      <c r="B39" s="29"/>
      <c r="C39" s="29"/>
      <c r="D39" s="29"/>
      <c r="E39" s="29"/>
      <c r="F39" s="30"/>
      <c r="G39" s="30"/>
      <c r="H39" s="30"/>
      <c r="I39" s="30"/>
      <c r="J39" s="30"/>
      <c r="K39" s="30"/>
      <c r="L39" s="30" t="s">
        <v>84</v>
      </c>
      <c r="M39" s="30"/>
      <c r="N39" s="30"/>
    </row>
    <row r="40" spans="1:14" ht="21.75" customHeight="1">
      <c r="A40" s="29" t="s">
        <v>85</v>
      </c>
      <c r="B40" s="29"/>
      <c r="C40" s="29"/>
      <c r="D40" s="29"/>
      <c r="E40" s="29"/>
      <c r="F40" s="30"/>
      <c r="G40" s="30"/>
      <c r="H40" s="30"/>
      <c r="I40" s="30"/>
      <c r="J40" s="30"/>
      <c r="K40" s="30"/>
      <c r="L40" s="30" t="s">
        <v>84</v>
      </c>
      <c r="M40" s="30"/>
      <c r="N40" s="30"/>
    </row>
    <row r="41" spans="1:14" ht="21.75" customHeight="1">
      <c r="A41" s="29" t="s">
        <v>86</v>
      </c>
      <c r="B41" s="29"/>
      <c r="C41" s="29"/>
      <c r="D41" s="29"/>
      <c r="E41" s="29"/>
      <c r="F41" s="30"/>
      <c r="G41" s="30"/>
      <c r="H41" s="30"/>
      <c r="I41" s="30"/>
      <c r="J41" s="30"/>
      <c r="K41" s="30"/>
      <c r="L41" s="30" t="s">
        <v>84</v>
      </c>
      <c r="M41" s="30"/>
      <c r="N41" s="30"/>
    </row>
    <row r="42" spans="1:14" ht="21.75" customHeight="1">
      <c r="A42" s="29" t="s">
        <v>87</v>
      </c>
      <c r="B42" s="29"/>
      <c r="C42" s="29"/>
      <c r="D42" s="29"/>
      <c r="E42" s="29"/>
      <c r="F42" s="30"/>
      <c r="G42" s="30"/>
      <c r="H42" s="30"/>
      <c r="I42" s="30"/>
      <c r="J42" s="30"/>
      <c r="K42" s="30"/>
      <c r="L42" s="30" t="s">
        <v>84</v>
      </c>
      <c r="M42" s="30"/>
      <c r="N42" s="30"/>
    </row>
    <row r="43" spans="1:14" ht="21.75" customHeight="1">
      <c r="A43" s="29" t="s">
        <v>88</v>
      </c>
      <c r="B43" s="29"/>
      <c r="C43" s="29"/>
      <c r="D43" s="29"/>
      <c r="E43" s="29"/>
      <c r="F43" s="30"/>
      <c r="G43" s="30"/>
      <c r="H43" s="30"/>
      <c r="I43" s="30"/>
      <c r="J43" s="30"/>
      <c r="K43" s="30"/>
      <c r="L43" s="30" t="s">
        <v>84</v>
      </c>
      <c r="M43" s="30"/>
      <c r="N43" s="30"/>
    </row>
    <row r="44" spans="1:14" ht="21.75" customHeight="1">
      <c r="A44" s="29"/>
      <c r="B44" s="29"/>
      <c r="C44" s="29"/>
      <c r="D44" s="29"/>
      <c r="E44" s="29"/>
      <c r="F44" s="30"/>
      <c r="G44" s="30"/>
      <c r="H44" s="30"/>
      <c r="I44" s="30"/>
      <c r="J44" s="30"/>
      <c r="K44" s="30"/>
      <c r="L44" s="30"/>
      <c r="M44" s="30"/>
      <c r="N44" s="30"/>
    </row>
    <row r="45" spans="1:14" ht="21.75" customHeight="1">
      <c r="A45" s="29"/>
      <c r="B45" s="29"/>
      <c r="C45" s="29"/>
      <c r="D45" s="29"/>
      <c r="E45" s="29"/>
      <c r="F45" s="30"/>
      <c r="G45" s="30"/>
      <c r="H45" s="30"/>
      <c r="I45" s="30"/>
      <c r="J45" s="30"/>
      <c r="K45" s="30"/>
      <c r="L45" s="30"/>
      <c r="M45" s="30"/>
      <c r="N45" s="30"/>
    </row>
    <row r="46" spans="1:14" ht="21.75" customHeight="1">
      <c r="A46" s="29"/>
      <c r="B46" s="29"/>
      <c r="C46" s="29"/>
      <c r="D46" s="29"/>
      <c r="E46" s="29"/>
      <c r="F46" s="30"/>
      <c r="G46" s="30"/>
      <c r="H46" s="30"/>
      <c r="I46" s="30"/>
      <c r="J46" s="30"/>
      <c r="K46" s="30"/>
      <c r="L46" s="30"/>
      <c r="M46" s="30"/>
      <c r="N46" s="30"/>
    </row>
    <row r="48" spans="1:14" ht="21.75" customHeight="1">
      <c r="A48" s="26" t="s">
        <v>89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ht="36" customHeight="1">
      <c r="A49" s="27" t="s">
        <v>120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1" spans="1:14" ht="39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>
      <c r="A52" s="28" t="s">
        <v>91</v>
      </c>
      <c r="B52" s="28"/>
      <c r="C52" s="28"/>
      <c r="D52" s="28"/>
      <c r="E52" s="28"/>
      <c r="F52" s="28"/>
      <c r="G52" s="28"/>
      <c r="H52" s="28" t="s">
        <v>92</v>
      </c>
      <c r="I52" s="28"/>
      <c r="J52" s="28"/>
      <c r="K52" s="28"/>
      <c r="L52" s="28"/>
      <c r="M52" s="28"/>
      <c r="N52" s="28"/>
    </row>
    <row r="54" spans="1:14" ht="21.75" customHeight="1">
      <c r="A54" s="25" t="s">
        <v>39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</sheetData>
  <mergeCells count="87">
    <mergeCell ref="A1:N1"/>
    <mergeCell ref="A2:N2"/>
    <mergeCell ref="A3:N3"/>
    <mergeCell ref="A5:N5"/>
    <mergeCell ref="A6:C6"/>
    <mergeCell ref="D6:F6"/>
    <mergeCell ref="G6:H6"/>
    <mergeCell ref="I6:K6"/>
    <mergeCell ref="A7:C7"/>
    <mergeCell ref="D7:F7"/>
    <mergeCell ref="G7:H7"/>
    <mergeCell ref="I7:K7"/>
    <mergeCell ref="A9:N9"/>
    <mergeCell ref="A26:D26"/>
    <mergeCell ref="A28:N28"/>
    <mergeCell ref="B29:G29"/>
    <mergeCell ref="H29:J29"/>
    <mergeCell ref="K29:L29"/>
    <mergeCell ref="M29:N29"/>
    <mergeCell ref="B30:G30"/>
    <mergeCell ref="H30:J30"/>
    <mergeCell ref="K30:L30"/>
    <mergeCell ref="M30:N30"/>
    <mergeCell ref="B31:G31"/>
    <mergeCell ref="H31:J31"/>
    <mergeCell ref="K31:L31"/>
    <mergeCell ref="M31:N31"/>
    <mergeCell ref="B32:G32"/>
    <mergeCell ref="H32:J32"/>
    <mergeCell ref="K32:L32"/>
    <mergeCell ref="M32:N32"/>
    <mergeCell ref="B33:G33"/>
    <mergeCell ref="H33:J33"/>
    <mergeCell ref="K33:L33"/>
    <mergeCell ref="M33:N33"/>
    <mergeCell ref="B34:G34"/>
    <mergeCell ref="H34:J34"/>
    <mergeCell ref="K34:L34"/>
    <mergeCell ref="M34:N34"/>
    <mergeCell ref="B35:G35"/>
    <mergeCell ref="H35:J35"/>
    <mergeCell ref="K35:L35"/>
    <mergeCell ref="M35:N35"/>
    <mergeCell ref="A37:N37"/>
    <mergeCell ref="A38:E38"/>
    <mergeCell ref="F38:H38"/>
    <mergeCell ref="I38:K38"/>
    <mergeCell ref="L38:N38"/>
    <mergeCell ref="A39:E39"/>
    <mergeCell ref="F39:H39"/>
    <mergeCell ref="I39:K39"/>
    <mergeCell ref="L39:N39"/>
    <mergeCell ref="A40:E40"/>
    <mergeCell ref="F40:H40"/>
    <mergeCell ref="I40:K40"/>
    <mergeCell ref="L40:N40"/>
    <mergeCell ref="A41:E41"/>
    <mergeCell ref="F41:H41"/>
    <mergeCell ref="I41:K41"/>
    <mergeCell ref="L41:N41"/>
    <mergeCell ref="A42:E42"/>
    <mergeCell ref="F42:H42"/>
    <mergeCell ref="I42:K42"/>
    <mergeCell ref="L42:N42"/>
    <mergeCell ref="A43:E43"/>
    <mergeCell ref="F43:H43"/>
    <mergeCell ref="I43:K43"/>
    <mergeCell ref="L43:N43"/>
    <mergeCell ref="A44:E44"/>
    <mergeCell ref="F44:H44"/>
    <mergeCell ref="I44:K44"/>
    <mergeCell ref="L44:N44"/>
    <mergeCell ref="A45:E45"/>
    <mergeCell ref="F45:H45"/>
    <mergeCell ref="I45:K45"/>
    <mergeCell ref="L45:N45"/>
    <mergeCell ref="A46:E46"/>
    <mergeCell ref="F46:H46"/>
    <mergeCell ref="I46:K46"/>
    <mergeCell ref="L46:N46"/>
    <mergeCell ref="A54:N54"/>
    <mergeCell ref="A48:N48"/>
    <mergeCell ref="A49:N49"/>
    <mergeCell ref="A51:G51"/>
    <mergeCell ref="H51:N51"/>
    <mergeCell ref="A52:G52"/>
    <mergeCell ref="H52:N52"/>
  </mergeCells>
  <dataValidations count="5">
    <dataValidation type="list" allowBlank="1" sqref="C11:C25" xr:uid="{00000000-0002-0000-0300-000000000000}">
      <formula1>"AHORRO,INGRESO,MIXTA"</formula1>
      <formula2>0</formula2>
    </dataValidation>
    <dataValidation type="list" allowBlank="1" sqref="D11:D25" xr:uid="{00000000-0002-0000-0300-000001000000}">
      <formula1>"Renegociación proveedor,Cambio proveedor,Digitalización,Optimización proceso,Reducción consumo,Tecnología,Nueva fuente ingreso,B2B / Corporativo,Monetización activos,Servicios afiliados,Cumplimiento normativo,Otro"</formula1>
      <formula2>0</formula2>
    </dataValidation>
    <dataValidation type="list" allowBlank="1" sqref="M11:M25" xr:uid="{00000000-0002-0000-0300-000002000000}">
      <formula1>"Propuesta,Análisis,En análisis,Cotización,Negociación,Diseño,Piloto,En curso,Gestión,Por desarrollar,Materializado,Confirmado,Aprobado,Cancelado"</formula1>
      <formula2>0</formula2>
    </dataValidation>
    <dataValidation type="list" allowBlank="1" sqref="M30:M35" xr:uid="{00000000-0002-0000-0300-000003000000}">
      <formula1>"Pendiente,En curso,Completado"</formula1>
      <formula2>0</formula2>
    </dataValidation>
    <dataValidation type="list" allowBlank="1" sqref="L39:L46" xr:uid="{00000000-0002-0000-0300-000004000000}">
      <formula1>"Semanal,Quincenal,Mensual"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4"/>
  <sheetViews>
    <sheetView showGridLines="0" zoomScaleNormal="100" workbookViewId="0">
      <pane ySplit="10" topLeftCell="A11" activePane="bottomLeft" state="frozen"/>
      <selection pane="bottomLeft" activeCell="G12" sqref="G12"/>
    </sheetView>
  </sheetViews>
  <sheetFormatPr defaultColWidth="8.7109375" defaultRowHeight="15"/>
  <cols>
    <col min="1" max="1" width="4" customWidth="1"/>
    <col min="2" max="2" width="36" customWidth="1"/>
    <col min="3" max="3" width="10" customWidth="1"/>
    <col min="4" max="4" width="16" customWidth="1"/>
    <col min="5" max="8" width="12" customWidth="1"/>
    <col min="9" max="9" width="13" customWidth="1"/>
    <col min="10" max="10" width="11" customWidth="1"/>
    <col min="11" max="12" width="9" customWidth="1"/>
    <col min="13" max="13" width="13" customWidth="1"/>
    <col min="14" max="14" width="22" customWidth="1"/>
  </cols>
  <sheetData>
    <row r="1" spans="1:14" ht="18" customHeight="1">
      <c r="A1" s="37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31.5" customHeight="1">
      <c r="A2" s="38" t="s">
        <v>121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" customHeight="1">
      <c r="A3" s="39" t="s">
        <v>42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spans="1:14" ht="24" customHeight="1">
      <c r="A5" s="26" t="s">
        <v>43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21.75" customHeight="1">
      <c r="A6" s="40" t="s">
        <v>44</v>
      </c>
      <c r="B6" s="40"/>
      <c r="C6" s="40"/>
      <c r="D6" s="40" t="s">
        <v>45</v>
      </c>
      <c r="E6" s="40"/>
      <c r="F6" s="40"/>
      <c r="G6" s="40" t="s">
        <v>46</v>
      </c>
      <c r="H6" s="40"/>
      <c r="I6" s="40" t="s">
        <v>47</v>
      </c>
      <c r="J6" s="40"/>
      <c r="K6" s="40"/>
    </row>
    <row r="7" spans="1:14" ht="24" customHeight="1">
      <c r="A7" s="29"/>
      <c r="B7" s="29"/>
      <c r="C7" s="29"/>
      <c r="D7" s="34"/>
      <c r="E7" s="34"/>
      <c r="F7" s="34"/>
      <c r="G7" s="35">
        <f>COUNTA(B11:B25)</f>
        <v>5</v>
      </c>
      <c r="H7" s="35"/>
      <c r="I7" s="36">
        <f>SUM(I11:I25)</f>
        <v>301218000</v>
      </c>
      <c r="J7" s="36"/>
      <c r="K7" s="36"/>
    </row>
    <row r="9" spans="1:14" ht="24" customHeight="1">
      <c r="A9" s="26" t="s">
        <v>48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31.5" customHeight="1">
      <c r="A10" s="11" t="s">
        <v>49</v>
      </c>
      <c r="B10" s="11" t="s">
        <v>50</v>
      </c>
      <c r="C10" s="11" t="s">
        <v>51</v>
      </c>
      <c r="D10" s="11" t="s">
        <v>52</v>
      </c>
      <c r="E10" s="11" t="s">
        <v>53</v>
      </c>
      <c r="F10" s="11" t="s">
        <v>54</v>
      </c>
      <c r="G10" s="11" t="s">
        <v>55</v>
      </c>
      <c r="H10" s="11" t="s">
        <v>56</v>
      </c>
      <c r="I10" s="11" t="s">
        <v>57</v>
      </c>
      <c r="J10" s="11" t="s">
        <v>58</v>
      </c>
      <c r="K10" s="11" t="s">
        <v>59</v>
      </c>
      <c r="L10" s="11" t="s">
        <v>60</v>
      </c>
      <c r="M10" s="11" t="s">
        <v>61</v>
      </c>
      <c r="N10" s="11" t="s">
        <v>62</v>
      </c>
    </row>
    <row r="11" spans="1:14" ht="36" customHeight="1">
      <c r="A11" s="12">
        <v>1</v>
      </c>
      <c r="B11" s="2" t="s">
        <v>122</v>
      </c>
      <c r="C11" s="13" t="s">
        <v>123</v>
      </c>
      <c r="D11" s="2" t="s">
        <v>95</v>
      </c>
      <c r="E11" s="14">
        <v>22493000</v>
      </c>
      <c r="F11" s="14">
        <v>25000000</v>
      </c>
      <c r="G11" s="14">
        <v>28116000</v>
      </c>
      <c r="H11" s="15">
        <f>IFERROR(IF(OR(E11="",F11="",G11=""),0,ROUND((E11+4*F11+G11)/6,0)),0)</f>
        <v>25101500</v>
      </c>
      <c r="I11" s="10">
        <f>H11*12</f>
        <v>301218000</v>
      </c>
      <c r="J11" s="14"/>
      <c r="K11" s="1" t="str">
        <f>IFERROR(IF(AND(H11&gt;0,J11&gt;0),ROUND(J11/H11,1),"-"),"-")</f>
        <v>-</v>
      </c>
      <c r="L11" s="16" t="str">
        <f>IFERROR(IF(J11&gt;0,(I11-J11)/J11,""),"")</f>
        <v/>
      </c>
      <c r="M11" s="13" t="s">
        <v>102</v>
      </c>
      <c r="N11" s="2"/>
    </row>
    <row r="12" spans="1:14" ht="36" customHeight="1">
      <c r="A12" s="12">
        <v>2</v>
      </c>
      <c r="B12" s="2" t="s">
        <v>124</v>
      </c>
      <c r="C12" s="13" t="s">
        <v>123</v>
      </c>
      <c r="D12" s="2" t="s">
        <v>95</v>
      </c>
      <c r="E12" s="14"/>
      <c r="F12" s="14"/>
      <c r="G12" s="14"/>
      <c r="H12" s="15">
        <f>IFERROR(IF(OR(E12="",F12="",G12=""),0,ROUND((E12+4*F12+G12)/6,0)),0)</f>
        <v>0</v>
      </c>
      <c r="I12" s="10">
        <f>H12*12</f>
        <v>0</v>
      </c>
      <c r="J12" s="14"/>
      <c r="K12" s="1" t="str">
        <f>IFERROR(IF(AND(H12&gt;0,J12&gt;0),ROUND(J12/H12,1),"-"),"-")</f>
        <v>-</v>
      </c>
      <c r="L12" s="16" t="str">
        <f>IFERROR(IF(J12&gt;0,(I12-J12)/J12,""),"")</f>
        <v/>
      </c>
      <c r="M12" s="13" t="s">
        <v>125</v>
      </c>
      <c r="N12" s="2"/>
    </row>
    <row r="13" spans="1:14" ht="36" customHeight="1">
      <c r="A13" s="12">
        <v>3</v>
      </c>
      <c r="B13" s="2" t="s">
        <v>126</v>
      </c>
      <c r="C13" s="13" t="s">
        <v>127</v>
      </c>
      <c r="D13" s="2" t="s">
        <v>128</v>
      </c>
      <c r="E13" s="14"/>
      <c r="F13" s="14"/>
      <c r="G13" s="14"/>
      <c r="H13" s="15">
        <f>IFERROR(IF(OR(E13="",F13="",G13=""),0,ROUND((E13+4*F13+G13)/6,0)),0)</f>
        <v>0</v>
      </c>
      <c r="I13" s="10">
        <f>H13*12</f>
        <v>0</v>
      </c>
      <c r="J13" s="14"/>
      <c r="K13" s="1" t="str">
        <f>IFERROR(IF(AND(H13&gt;0,J13&gt;0),ROUND(J13/H13,1),"-"),"-")</f>
        <v>-</v>
      </c>
      <c r="L13" s="16" t="str">
        <f>IFERROR(IF(J13&gt;0,(I13-J13)/J13,""),"")</f>
        <v/>
      </c>
      <c r="M13" s="13" t="s">
        <v>125</v>
      </c>
      <c r="N13" s="2"/>
    </row>
    <row r="14" spans="1:14" ht="36" customHeight="1">
      <c r="A14" s="12">
        <v>4</v>
      </c>
      <c r="B14" s="2" t="s">
        <v>129</v>
      </c>
      <c r="C14" s="13" t="s">
        <v>127</v>
      </c>
      <c r="D14" s="2" t="s">
        <v>128</v>
      </c>
      <c r="E14" s="14"/>
      <c r="F14" s="14"/>
      <c r="G14" s="14"/>
      <c r="H14" s="15">
        <f>IFERROR(IF(OR(E14="",F14="",G14=""),0,ROUND((E14+4*F14+G14)/6,0)),0)</f>
        <v>0</v>
      </c>
      <c r="I14" s="10">
        <f>H14*12</f>
        <v>0</v>
      </c>
      <c r="J14" s="14"/>
      <c r="K14" s="1" t="str">
        <f>IFERROR(IF(AND(H14&gt;0,J14&gt;0),ROUND(J14/H14,1),"-"),"-")</f>
        <v>-</v>
      </c>
      <c r="L14" s="16" t="str">
        <f>IFERROR(IF(J14&gt;0,(I14-J14)/J14,""),"")</f>
        <v/>
      </c>
      <c r="M14" s="13" t="s">
        <v>130</v>
      </c>
      <c r="N14" s="2"/>
    </row>
    <row r="15" spans="1:14" ht="36" customHeight="1">
      <c r="A15" s="12">
        <v>5</v>
      </c>
      <c r="B15" s="2" t="s">
        <v>131</v>
      </c>
      <c r="C15" s="13" t="s">
        <v>127</v>
      </c>
      <c r="D15" s="2" t="s">
        <v>128</v>
      </c>
      <c r="E15" s="14"/>
      <c r="F15" s="14"/>
      <c r="G15" s="14"/>
      <c r="H15" s="15">
        <f>IFERROR(IF(OR(E15="",F15="",G15=""),0,ROUND((E15+4*F15+G15)/6,0)),0)</f>
        <v>0</v>
      </c>
      <c r="I15" s="10">
        <f>H15*12</f>
        <v>0</v>
      </c>
      <c r="J15" s="14"/>
      <c r="K15" s="1" t="str">
        <f>IFERROR(IF(AND(H15&gt;0,J15&gt;0),ROUND(J15/H15,1),"-"),"-")</f>
        <v>-</v>
      </c>
      <c r="L15" s="16" t="str">
        <f>IFERROR(IF(J15&gt;0,(I15-J15)/J15,""),"")</f>
        <v/>
      </c>
      <c r="M15" s="13" t="s">
        <v>99</v>
      </c>
      <c r="N15" s="2"/>
    </row>
    <row r="16" spans="1:14" ht="36" customHeight="1">
      <c r="A16" s="12">
        <v>6</v>
      </c>
      <c r="B16" s="2"/>
      <c r="C16" s="13"/>
      <c r="D16" s="2"/>
      <c r="E16" s="14"/>
      <c r="F16" s="14"/>
      <c r="G16" s="14"/>
      <c r="H16" s="15">
        <f>IFERROR(IF(OR(E16="",F16="",G16=""),0,ROUND((E16+4*F16+G16)/6,0)),0)</f>
        <v>0</v>
      </c>
      <c r="I16" s="10">
        <f>H16*12</f>
        <v>0</v>
      </c>
      <c r="J16" s="14"/>
      <c r="K16" s="1" t="str">
        <f>IFERROR(IF(AND(H16&gt;0,J16&gt;0),ROUND(J16/H16,1),"-"),"-")</f>
        <v>-</v>
      </c>
      <c r="L16" s="16" t="str">
        <f>IFERROR(IF(J16&gt;0,(I16-J16)/J16,""),"")</f>
        <v/>
      </c>
      <c r="M16" s="13"/>
      <c r="N16" s="2"/>
    </row>
    <row r="17" spans="1:14" ht="36" customHeight="1">
      <c r="A17" s="12">
        <v>7</v>
      </c>
      <c r="B17" s="2"/>
      <c r="C17" s="13"/>
      <c r="D17" s="2"/>
      <c r="E17" s="14"/>
      <c r="F17" s="14"/>
      <c r="G17" s="14"/>
      <c r="H17" s="15">
        <f>IFERROR(IF(OR(E17="",F17="",G17=""),0,ROUND((E17+4*F17+G17)/6,0)),0)</f>
        <v>0</v>
      </c>
      <c r="I17" s="10">
        <f>H17*12</f>
        <v>0</v>
      </c>
      <c r="J17" s="14"/>
      <c r="K17" s="1" t="str">
        <f>IFERROR(IF(AND(H17&gt;0,J17&gt;0),ROUND(J17/H17,1),"-"),"-")</f>
        <v>-</v>
      </c>
      <c r="L17" s="16" t="str">
        <f>IFERROR(IF(J17&gt;0,(I17-J17)/J17,""),"")</f>
        <v/>
      </c>
      <c r="M17" s="13"/>
      <c r="N17" s="2"/>
    </row>
    <row r="18" spans="1:14" ht="36" customHeight="1">
      <c r="A18" s="12">
        <v>8</v>
      </c>
      <c r="B18" s="2"/>
      <c r="C18" s="13"/>
      <c r="D18" s="2"/>
      <c r="E18" s="14"/>
      <c r="F18" s="14"/>
      <c r="G18" s="14"/>
      <c r="H18" s="15">
        <f>IFERROR(IF(OR(E18="",F18="",G18=""),0,ROUND((E18+4*F18+G18)/6,0)),0)</f>
        <v>0</v>
      </c>
      <c r="I18" s="10">
        <f>H18*12</f>
        <v>0</v>
      </c>
      <c r="J18" s="14"/>
      <c r="K18" s="1" t="str">
        <f>IFERROR(IF(AND(H18&gt;0,J18&gt;0),ROUND(J18/H18,1),"-"),"-")</f>
        <v>-</v>
      </c>
      <c r="L18" s="16" t="str">
        <f>IFERROR(IF(J18&gt;0,(I18-J18)/J18,""),"")</f>
        <v/>
      </c>
      <c r="M18" s="13"/>
      <c r="N18" s="2"/>
    </row>
    <row r="19" spans="1:14" ht="36" customHeight="1">
      <c r="A19" s="12">
        <v>9</v>
      </c>
      <c r="B19" s="2"/>
      <c r="C19" s="13"/>
      <c r="D19" s="2"/>
      <c r="E19" s="14"/>
      <c r="F19" s="14"/>
      <c r="G19" s="14"/>
      <c r="H19" s="15">
        <f>IFERROR(IF(OR(E19="",F19="",G19=""),0,ROUND((E19+4*F19+G19)/6,0)),0)</f>
        <v>0</v>
      </c>
      <c r="I19" s="10">
        <f>H19*12</f>
        <v>0</v>
      </c>
      <c r="J19" s="14"/>
      <c r="K19" s="1" t="str">
        <f>IFERROR(IF(AND(H19&gt;0,J19&gt;0),ROUND(J19/H19,1),"-"),"-")</f>
        <v>-</v>
      </c>
      <c r="L19" s="16" t="str">
        <f>IFERROR(IF(J19&gt;0,(I19-J19)/J19,""),"")</f>
        <v/>
      </c>
      <c r="M19" s="13"/>
      <c r="N19" s="2"/>
    </row>
    <row r="20" spans="1:14" ht="36" customHeight="1">
      <c r="A20" s="12">
        <v>10</v>
      </c>
      <c r="B20" s="2"/>
      <c r="C20" s="13"/>
      <c r="D20" s="2"/>
      <c r="E20" s="14"/>
      <c r="F20" s="14"/>
      <c r="G20" s="14"/>
      <c r="H20" s="15">
        <f>IFERROR(IF(OR(E20="",F20="",G20=""),0,ROUND((E20+4*F20+G20)/6,0)),0)</f>
        <v>0</v>
      </c>
      <c r="I20" s="10">
        <f>H20*12</f>
        <v>0</v>
      </c>
      <c r="J20" s="14"/>
      <c r="K20" s="1" t="str">
        <f>IFERROR(IF(AND(H20&gt;0,J20&gt;0),ROUND(J20/H20,1),"-"),"-")</f>
        <v>-</v>
      </c>
      <c r="L20" s="16" t="str">
        <f>IFERROR(IF(J20&gt;0,(I20-J20)/J20,""),"")</f>
        <v/>
      </c>
      <c r="M20" s="13"/>
      <c r="N20" s="2"/>
    </row>
    <row r="21" spans="1:14" ht="36" customHeight="1">
      <c r="A21" s="12">
        <v>11</v>
      </c>
      <c r="B21" s="2"/>
      <c r="C21" s="13"/>
      <c r="D21" s="2"/>
      <c r="E21" s="14"/>
      <c r="F21" s="14"/>
      <c r="G21" s="14"/>
      <c r="H21" s="15">
        <f>IFERROR(IF(OR(E21="",F21="",G21=""),0,ROUND((E21+4*F21+G21)/6,0)),0)</f>
        <v>0</v>
      </c>
      <c r="I21" s="10">
        <f>H21*12</f>
        <v>0</v>
      </c>
      <c r="J21" s="14"/>
      <c r="K21" s="1" t="str">
        <f>IFERROR(IF(AND(H21&gt;0,J21&gt;0),ROUND(J21/H21,1),"-"),"-")</f>
        <v>-</v>
      </c>
      <c r="L21" s="16" t="str">
        <f>IFERROR(IF(J21&gt;0,(I21-J21)/J21,""),"")</f>
        <v/>
      </c>
      <c r="M21" s="13"/>
      <c r="N21" s="2"/>
    </row>
    <row r="22" spans="1:14" ht="36" customHeight="1">
      <c r="A22" s="12">
        <v>12</v>
      </c>
      <c r="B22" s="2"/>
      <c r="C22" s="13"/>
      <c r="D22" s="2"/>
      <c r="E22" s="14"/>
      <c r="F22" s="14"/>
      <c r="G22" s="14"/>
      <c r="H22" s="15">
        <f>IFERROR(IF(OR(E22="",F22="",G22=""),0,ROUND((E22+4*F22+G22)/6,0)),0)</f>
        <v>0</v>
      </c>
      <c r="I22" s="10">
        <f>H22*12</f>
        <v>0</v>
      </c>
      <c r="J22" s="14"/>
      <c r="K22" s="1" t="str">
        <f>IFERROR(IF(AND(H22&gt;0,J22&gt;0),ROUND(J22/H22,1),"-"),"-")</f>
        <v>-</v>
      </c>
      <c r="L22" s="16" t="str">
        <f>IFERROR(IF(J22&gt;0,(I22-J22)/J22,""),"")</f>
        <v/>
      </c>
      <c r="M22" s="13"/>
      <c r="N22" s="2"/>
    </row>
    <row r="23" spans="1:14" ht="36" customHeight="1">
      <c r="A23" s="12">
        <v>13</v>
      </c>
      <c r="B23" s="2"/>
      <c r="C23" s="13"/>
      <c r="D23" s="2"/>
      <c r="E23" s="14"/>
      <c r="F23" s="14"/>
      <c r="G23" s="14"/>
      <c r="H23" s="15">
        <f>IFERROR(IF(OR(E23="",F23="",G23=""),0,ROUND((E23+4*F23+G23)/6,0)),0)</f>
        <v>0</v>
      </c>
      <c r="I23" s="10">
        <f>H23*12</f>
        <v>0</v>
      </c>
      <c r="J23" s="14"/>
      <c r="K23" s="1" t="str">
        <f>IFERROR(IF(AND(H23&gt;0,J23&gt;0),ROUND(J23/H23,1),"-"),"-")</f>
        <v>-</v>
      </c>
      <c r="L23" s="16" t="str">
        <f>IFERROR(IF(J23&gt;0,(I23-J23)/J23,""),"")</f>
        <v/>
      </c>
      <c r="M23" s="13"/>
      <c r="N23" s="2"/>
    </row>
    <row r="24" spans="1:14" ht="36" customHeight="1">
      <c r="A24" s="12">
        <v>14</v>
      </c>
      <c r="B24" s="2"/>
      <c r="C24" s="13"/>
      <c r="D24" s="2"/>
      <c r="E24" s="14"/>
      <c r="F24" s="14"/>
      <c r="G24" s="14"/>
      <c r="H24" s="15">
        <f>IFERROR(IF(OR(E24="",F24="",G24=""),0,ROUND((E24+4*F24+G24)/6,0)),0)</f>
        <v>0</v>
      </c>
      <c r="I24" s="10">
        <f>H24*12</f>
        <v>0</v>
      </c>
      <c r="J24" s="14"/>
      <c r="K24" s="1" t="str">
        <f>IFERROR(IF(AND(H24&gt;0,J24&gt;0),ROUND(J24/H24,1),"-"),"-")</f>
        <v>-</v>
      </c>
      <c r="L24" s="16" t="str">
        <f>IFERROR(IF(J24&gt;0,(I24-J24)/J24,""),"")</f>
        <v/>
      </c>
      <c r="M24" s="13"/>
      <c r="N24" s="2"/>
    </row>
    <row r="25" spans="1:14" ht="36" customHeight="1">
      <c r="A25" s="12">
        <v>15</v>
      </c>
      <c r="B25" s="2"/>
      <c r="C25" s="13"/>
      <c r="D25" s="2"/>
      <c r="E25" s="14"/>
      <c r="F25" s="14"/>
      <c r="G25" s="14"/>
      <c r="H25" s="15">
        <f>IFERROR(IF(OR(E25="",F25="",G25=""),0,ROUND((E25+4*F25+G25)/6,0)),0)</f>
        <v>0</v>
      </c>
      <c r="I25" s="10">
        <f>H25*12</f>
        <v>0</v>
      </c>
      <c r="J25" s="14"/>
      <c r="K25" s="1" t="str">
        <f>IFERROR(IF(AND(H25&gt;0,J25&gt;0),ROUND(J25/H25,1),"-"),"-")</f>
        <v>-</v>
      </c>
      <c r="L25" s="16" t="str">
        <f>IFERROR(IF(J25&gt;0,(I25-J25)/J25,""),"")</f>
        <v/>
      </c>
      <c r="M25" s="13"/>
      <c r="N25" s="2"/>
    </row>
    <row r="26" spans="1:14" ht="27.75" customHeight="1">
      <c r="A26" s="33" t="s">
        <v>73</v>
      </c>
      <c r="B26" s="33"/>
      <c r="C26" s="33"/>
      <c r="D26" s="33"/>
      <c r="E26" s="18">
        <f>SUM(E11:E25)</f>
        <v>22493000</v>
      </c>
      <c r="F26" s="18">
        <f>SUM(F11:F25)</f>
        <v>25000000</v>
      </c>
      <c r="G26" s="18">
        <f>SUM(G11:G25)</f>
        <v>28116000</v>
      </c>
      <c r="H26" s="18">
        <f>SUM(H11:H25)</f>
        <v>25101500</v>
      </c>
      <c r="I26" s="18">
        <f>SUM(I11:I25)</f>
        <v>301218000</v>
      </c>
      <c r="J26" s="18">
        <f>SUM(J11:J25)</f>
        <v>0</v>
      </c>
      <c r="K26" s="19"/>
      <c r="L26" s="19"/>
      <c r="M26" s="19"/>
      <c r="N26" s="19"/>
    </row>
    <row r="28" spans="1:14" ht="21.75" customHeight="1">
      <c r="A28" s="26" t="s">
        <v>74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4" ht="21.75" customHeight="1">
      <c r="A29" s="11" t="s">
        <v>49</v>
      </c>
      <c r="B29" s="31" t="s">
        <v>75</v>
      </c>
      <c r="C29" s="31"/>
      <c r="D29" s="31"/>
      <c r="E29" s="31"/>
      <c r="F29" s="31"/>
      <c r="G29" s="31"/>
      <c r="H29" s="31" t="s">
        <v>76</v>
      </c>
      <c r="I29" s="31"/>
      <c r="J29" s="31"/>
      <c r="K29" s="31" t="s">
        <v>77</v>
      </c>
      <c r="L29" s="31"/>
      <c r="M29" s="31" t="s">
        <v>61</v>
      </c>
      <c r="N29" s="31"/>
    </row>
    <row r="30" spans="1:14" ht="24" customHeight="1">
      <c r="A30" s="12">
        <v>1</v>
      </c>
      <c r="B30" s="29"/>
      <c r="C30" s="29"/>
      <c r="D30" s="29"/>
      <c r="E30" s="29"/>
      <c r="F30" s="29"/>
      <c r="G30" s="29"/>
      <c r="H30" s="29"/>
      <c r="I30" s="29"/>
      <c r="J30" s="29"/>
      <c r="K30" s="32"/>
      <c r="L30" s="32"/>
      <c r="M30" s="30"/>
      <c r="N30" s="30"/>
    </row>
    <row r="31" spans="1:14" ht="24" customHeight="1">
      <c r="A31" s="12">
        <v>2</v>
      </c>
      <c r="B31" s="29"/>
      <c r="C31" s="29"/>
      <c r="D31" s="29"/>
      <c r="E31" s="29"/>
      <c r="F31" s="29"/>
      <c r="G31" s="29"/>
      <c r="H31" s="29"/>
      <c r="I31" s="29"/>
      <c r="J31" s="29"/>
      <c r="K31" s="32"/>
      <c r="L31" s="32"/>
      <c r="M31" s="30"/>
      <c r="N31" s="30"/>
    </row>
    <row r="32" spans="1:14" ht="24" customHeight="1">
      <c r="A32" s="12">
        <v>3</v>
      </c>
      <c r="B32" s="29"/>
      <c r="C32" s="29"/>
      <c r="D32" s="29"/>
      <c r="E32" s="29"/>
      <c r="F32" s="29"/>
      <c r="G32" s="29"/>
      <c r="H32" s="29"/>
      <c r="I32" s="29"/>
      <c r="J32" s="29"/>
      <c r="K32" s="32"/>
      <c r="L32" s="32"/>
      <c r="M32" s="30"/>
      <c r="N32" s="30"/>
    </row>
    <row r="33" spans="1:14" ht="24" customHeight="1">
      <c r="A33" s="12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32"/>
      <c r="L33" s="32"/>
      <c r="M33" s="30"/>
      <c r="N33" s="30"/>
    </row>
    <row r="34" spans="1:14" ht="24" customHeight="1">
      <c r="A34" s="12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32"/>
      <c r="L34" s="32"/>
      <c r="M34" s="30"/>
      <c r="N34" s="30"/>
    </row>
    <row r="35" spans="1:14" ht="24" customHeight="1">
      <c r="A35" s="12">
        <v>6</v>
      </c>
      <c r="B35" s="29"/>
      <c r="C35" s="29"/>
      <c r="D35" s="29"/>
      <c r="E35" s="29"/>
      <c r="F35" s="29"/>
      <c r="G35" s="29"/>
      <c r="H35" s="29"/>
      <c r="I35" s="29"/>
      <c r="J35" s="29"/>
      <c r="K35" s="32"/>
      <c r="L35" s="32"/>
      <c r="M35" s="30"/>
      <c r="N35" s="30"/>
    </row>
    <row r="37" spans="1:14" ht="21.75" customHeight="1">
      <c r="A37" s="26" t="s">
        <v>78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ht="21.75" customHeight="1">
      <c r="A38" s="31" t="s">
        <v>79</v>
      </c>
      <c r="B38" s="31"/>
      <c r="C38" s="31"/>
      <c r="D38" s="31"/>
      <c r="E38" s="31"/>
      <c r="F38" s="31" t="s">
        <v>80</v>
      </c>
      <c r="G38" s="31"/>
      <c r="H38" s="31"/>
      <c r="I38" s="31" t="s">
        <v>81</v>
      </c>
      <c r="J38" s="31"/>
      <c r="K38" s="31"/>
      <c r="L38" s="31" t="s">
        <v>82</v>
      </c>
      <c r="M38" s="31"/>
      <c r="N38" s="31"/>
    </row>
    <row r="39" spans="1:14" ht="21.75" customHeight="1">
      <c r="A39" s="29" t="s">
        <v>83</v>
      </c>
      <c r="B39" s="29"/>
      <c r="C39" s="29"/>
      <c r="D39" s="29"/>
      <c r="E39" s="29"/>
      <c r="F39" s="30"/>
      <c r="G39" s="30"/>
      <c r="H39" s="30"/>
      <c r="I39" s="30"/>
      <c r="J39" s="30"/>
      <c r="K39" s="30"/>
      <c r="L39" s="30" t="s">
        <v>84</v>
      </c>
      <c r="M39" s="30"/>
      <c r="N39" s="30"/>
    </row>
    <row r="40" spans="1:14" ht="21.75" customHeight="1">
      <c r="A40" s="29" t="s">
        <v>85</v>
      </c>
      <c r="B40" s="29"/>
      <c r="C40" s="29"/>
      <c r="D40" s="29"/>
      <c r="E40" s="29"/>
      <c r="F40" s="30"/>
      <c r="G40" s="30"/>
      <c r="H40" s="30"/>
      <c r="I40" s="30"/>
      <c r="J40" s="30"/>
      <c r="K40" s="30"/>
      <c r="L40" s="30" t="s">
        <v>84</v>
      </c>
      <c r="M40" s="30"/>
      <c r="N40" s="30"/>
    </row>
    <row r="41" spans="1:14" ht="21.75" customHeight="1">
      <c r="A41" s="29" t="s">
        <v>86</v>
      </c>
      <c r="B41" s="29"/>
      <c r="C41" s="29"/>
      <c r="D41" s="29"/>
      <c r="E41" s="29"/>
      <c r="F41" s="30"/>
      <c r="G41" s="30"/>
      <c r="H41" s="30"/>
      <c r="I41" s="30"/>
      <c r="J41" s="30"/>
      <c r="K41" s="30"/>
      <c r="L41" s="30" t="s">
        <v>84</v>
      </c>
      <c r="M41" s="30"/>
      <c r="N41" s="30"/>
    </row>
    <row r="42" spans="1:14" ht="21.75" customHeight="1">
      <c r="A42" s="29" t="s">
        <v>87</v>
      </c>
      <c r="B42" s="29"/>
      <c r="C42" s="29"/>
      <c r="D42" s="29"/>
      <c r="E42" s="29"/>
      <c r="F42" s="30"/>
      <c r="G42" s="30"/>
      <c r="H42" s="30"/>
      <c r="I42" s="30"/>
      <c r="J42" s="30"/>
      <c r="K42" s="30"/>
      <c r="L42" s="30" t="s">
        <v>84</v>
      </c>
      <c r="M42" s="30"/>
      <c r="N42" s="30"/>
    </row>
    <row r="43" spans="1:14" ht="21.75" customHeight="1">
      <c r="A43" s="29" t="s">
        <v>88</v>
      </c>
      <c r="B43" s="29"/>
      <c r="C43" s="29"/>
      <c r="D43" s="29"/>
      <c r="E43" s="29"/>
      <c r="F43" s="30"/>
      <c r="G43" s="30"/>
      <c r="H43" s="30"/>
      <c r="I43" s="30"/>
      <c r="J43" s="30"/>
      <c r="K43" s="30"/>
      <c r="L43" s="30" t="s">
        <v>84</v>
      </c>
      <c r="M43" s="30"/>
      <c r="N43" s="30"/>
    </row>
    <row r="44" spans="1:14" ht="21.75" customHeight="1">
      <c r="A44" s="29"/>
      <c r="B44" s="29"/>
      <c r="C44" s="29"/>
      <c r="D44" s="29"/>
      <c r="E44" s="29"/>
      <c r="F44" s="30"/>
      <c r="G44" s="30"/>
      <c r="H44" s="30"/>
      <c r="I44" s="30"/>
      <c r="J44" s="30"/>
      <c r="K44" s="30"/>
      <c r="L44" s="30"/>
      <c r="M44" s="30"/>
      <c r="N44" s="30"/>
    </row>
    <row r="45" spans="1:14" ht="21.75" customHeight="1">
      <c r="A45" s="29"/>
      <c r="B45" s="29"/>
      <c r="C45" s="29"/>
      <c r="D45" s="29"/>
      <c r="E45" s="29"/>
      <c r="F45" s="30"/>
      <c r="G45" s="30"/>
      <c r="H45" s="30"/>
      <c r="I45" s="30"/>
      <c r="J45" s="30"/>
      <c r="K45" s="30"/>
      <c r="L45" s="30"/>
      <c r="M45" s="30"/>
      <c r="N45" s="30"/>
    </row>
    <row r="46" spans="1:14" ht="21.75" customHeight="1">
      <c r="A46" s="29"/>
      <c r="B46" s="29"/>
      <c r="C46" s="29"/>
      <c r="D46" s="29"/>
      <c r="E46" s="29"/>
      <c r="F46" s="30"/>
      <c r="G46" s="30"/>
      <c r="H46" s="30"/>
      <c r="I46" s="30"/>
      <c r="J46" s="30"/>
      <c r="K46" s="30"/>
      <c r="L46" s="30"/>
      <c r="M46" s="30"/>
      <c r="N46" s="30"/>
    </row>
    <row r="48" spans="1:14" ht="21.75" customHeight="1">
      <c r="A48" s="26" t="s">
        <v>89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ht="36" customHeight="1">
      <c r="A49" s="27" t="s">
        <v>132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1" spans="1:14" ht="39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>
      <c r="A52" s="28" t="s">
        <v>91</v>
      </c>
      <c r="B52" s="28"/>
      <c r="C52" s="28"/>
      <c r="D52" s="28"/>
      <c r="E52" s="28"/>
      <c r="F52" s="28"/>
      <c r="G52" s="28"/>
      <c r="H52" s="28" t="s">
        <v>92</v>
      </c>
      <c r="I52" s="28"/>
      <c r="J52" s="28"/>
      <c r="K52" s="28"/>
      <c r="L52" s="28"/>
      <c r="M52" s="28"/>
      <c r="N52" s="28"/>
    </row>
    <row r="54" spans="1:14" ht="21.75" customHeight="1">
      <c r="A54" s="25" t="s">
        <v>39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</sheetData>
  <mergeCells count="87">
    <mergeCell ref="A1:N1"/>
    <mergeCell ref="A2:N2"/>
    <mergeCell ref="A3:N3"/>
    <mergeCell ref="A5:N5"/>
    <mergeCell ref="A6:C6"/>
    <mergeCell ref="D6:F6"/>
    <mergeCell ref="G6:H6"/>
    <mergeCell ref="I6:K6"/>
    <mergeCell ref="A7:C7"/>
    <mergeCell ref="D7:F7"/>
    <mergeCell ref="G7:H7"/>
    <mergeCell ref="I7:K7"/>
    <mergeCell ref="A9:N9"/>
    <mergeCell ref="A26:D26"/>
    <mergeCell ref="A28:N28"/>
    <mergeCell ref="B29:G29"/>
    <mergeCell ref="H29:J29"/>
    <mergeCell ref="K29:L29"/>
    <mergeCell ref="M29:N29"/>
    <mergeCell ref="B30:G30"/>
    <mergeCell ref="H30:J30"/>
    <mergeCell ref="K30:L30"/>
    <mergeCell ref="M30:N30"/>
    <mergeCell ref="B31:G31"/>
    <mergeCell ref="H31:J31"/>
    <mergeCell ref="K31:L31"/>
    <mergeCell ref="M31:N31"/>
    <mergeCell ref="B32:G32"/>
    <mergeCell ref="H32:J32"/>
    <mergeCell ref="K32:L32"/>
    <mergeCell ref="M32:N32"/>
    <mergeCell ref="B33:G33"/>
    <mergeCell ref="H33:J33"/>
    <mergeCell ref="K33:L33"/>
    <mergeCell ref="M33:N33"/>
    <mergeCell ref="B34:G34"/>
    <mergeCell ref="H34:J34"/>
    <mergeCell ref="K34:L34"/>
    <mergeCell ref="M34:N34"/>
    <mergeCell ref="B35:G35"/>
    <mergeCell ref="H35:J35"/>
    <mergeCell ref="K35:L35"/>
    <mergeCell ref="M35:N35"/>
    <mergeCell ref="A37:N37"/>
    <mergeCell ref="A38:E38"/>
    <mergeCell ref="F38:H38"/>
    <mergeCell ref="I38:K38"/>
    <mergeCell ref="L38:N38"/>
    <mergeCell ref="A39:E39"/>
    <mergeCell ref="F39:H39"/>
    <mergeCell ref="I39:K39"/>
    <mergeCell ref="L39:N39"/>
    <mergeCell ref="A40:E40"/>
    <mergeCell ref="F40:H40"/>
    <mergeCell ref="I40:K40"/>
    <mergeCell ref="L40:N40"/>
    <mergeCell ref="A41:E41"/>
    <mergeCell ref="F41:H41"/>
    <mergeCell ref="I41:K41"/>
    <mergeCell ref="L41:N41"/>
    <mergeCell ref="A42:E42"/>
    <mergeCell ref="F42:H42"/>
    <mergeCell ref="I42:K42"/>
    <mergeCell ref="L42:N42"/>
    <mergeCell ref="A43:E43"/>
    <mergeCell ref="F43:H43"/>
    <mergeCell ref="I43:K43"/>
    <mergeCell ref="L43:N43"/>
    <mergeCell ref="A44:E44"/>
    <mergeCell ref="F44:H44"/>
    <mergeCell ref="I44:K44"/>
    <mergeCell ref="L44:N44"/>
    <mergeCell ref="A45:E45"/>
    <mergeCell ref="F45:H45"/>
    <mergeCell ref="I45:K45"/>
    <mergeCell ref="L45:N45"/>
    <mergeCell ref="A46:E46"/>
    <mergeCell ref="F46:H46"/>
    <mergeCell ref="I46:K46"/>
    <mergeCell ref="L46:N46"/>
    <mergeCell ref="A54:N54"/>
    <mergeCell ref="A48:N48"/>
    <mergeCell ref="A49:N49"/>
    <mergeCell ref="A51:G51"/>
    <mergeCell ref="H51:N51"/>
    <mergeCell ref="A52:G52"/>
    <mergeCell ref="H52:N52"/>
  </mergeCells>
  <dataValidations count="5">
    <dataValidation type="list" allowBlank="1" sqref="C11:C25" xr:uid="{00000000-0002-0000-0400-000000000000}">
      <formula1>"AHORRO,INGRESO,MIXTA"</formula1>
      <formula2>0</formula2>
    </dataValidation>
    <dataValidation type="list" allowBlank="1" sqref="D11:D25" xr:uid="{00000000-0002-0000-0400-000001000000}">
      <formula1>"Renegociación proveedor,Cambio proveedor,Digitalización,Optimización proceso,Reducción consumo,Tecnología,Nueva fuente ingreso,B2B / Corporativo,Monetización activos,Servicios afiliados,Cumplimiento normativo,Otro"</formula1>
      <formula2>0</formula2>
    </dataValidation>
    <dataValidation type="list" allowBlank="1" sqref="M11:M25" xr:uid="{00000000-0002-0000-0400-000002000000}">
      <formula1>"Propuesta,Análisis,En análisis,Cotización,Negociación,Diseño,Piloto,En curso,Gestión,Por desarrollar,Materializado,Confirmado,Aprobado,Cancelado"</formula1>
      <formula2>0</formula2>
    </dataValidation>
    <dataValidation type="list" allowBlank="1" sqref="M30:M35" xr:uid="{00000000-0002-0000-0400-000003000000}">
      <formula1>"Pendiente,En curso,Completado"</formula1>
      <formula2>0</formula2>
    </dataValidation>
    <dataValidation type="list" allowBlank="1" sqref="L39:L46" xr:uid="{00000000-0002-0000-0400-000004000000}">
      <formula1>"Semanal,Quincenal,Mensual"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7109375" defaultRowHeight="15"/>
  <cols>
    <col min="1" max="1" width="4" customWidth="1"/>
    <col min="2" max="2" width="36" customWidth="1"/>
    <col min="3" max="3" width="10" customWidth="1"/>
    <col min="4" max="4" width="16" customWidth="1"/>
    <col min="5" max="8" width="12" customWidth="1"/>
    <col min="9" max="9" width="13" customWidth="1"/>
    <col min="10" max="10" width="11" customWidth="1"/>
    <col min="11" max="12" width="9" customWidth="1"/>
    <col min="13" max="13" width="13" customWidth="1"/>
    <col min="14" max="14" width="22" customWidth="1"/>
  </cols>
  <sheetData>
    <row r="1" spans="1:14" ht="18" customHeight="1">
      <c r="A1" s="37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31.5" customHeight="1">
      <c r="A2" s="38" t="s">
        <v>133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" customHeight="1">
      <c r="A3" s="39" t="s">
        <v>42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spans="1:14" ht="24" customHeight="1">
      <c r="A5" s="26" t="s">
        <v>43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21.75" customHeight="1">
      <c r="A6" s="40" t="s">
        <v>44</v>
      </c>
      <c r="B6" s="40"/>
      <c r="C6" s="40"/>
      <c r="D6" s="40" t="s">
        <v>45</v>
      </c>
      <c r="E6" s="40"/>
      <c r="F6" s="40"/>
      <c r="G6" s="40" t="s">
        <v>46</v>
      </c>
      <c r="H6" s="40"/>
      <c r="I6" s="40" t="s">
        <v>47</v>
      </c>
      <c r="J6" s="40"/>
      <c r="K6" s="40"/>
    </row>
    <row r="7" spans="1:14" ht="24" customHeight="1">
      <c r="A7" s="29"/>
      <c r="B7" s="29"/>
      <c r="C7" s="29"/>
      <c r="D7" s="34"/>
      <c r="E7" s="34"/>
      <c r="F7" s="34"/>
      <c r="G7" s="35">
        <f>COUNTA(B11:B25)</f>
        <v>5</v>
      </c>
      <c r="H7" s="35"/>
      <c r="I7" s="36">
        <f>SUM(I11:I25)</f>
        <v>0</v>
      </c>
      <c r="J7" s="36"/>
      <c r="K7" s="36"/>
    </row>
    <row r="9" spans="1:14" ht="24" customHeight="1">
      <c r="A9" s="26" t="s">
        <v>48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31.5" customHeight="1">
      <c r="A10" s="11" t="s">
        <v>49</v>
      </c>
      <c r="B10" s="11" t="s">
        <v>50</v>
      </c>
      <c r="C10" s="11" t="s">
        <v>51</v>
      </c>
      <c r="D10" s="11" t="s">
        <v>52</v>
      </c>
      <c r="E10" s="11" t="s">
        <v>53</v>
      </c>
      <c r="F10" s="11" t="s">
        <v>54</v>
      </c>
      <c r="G10" s="11" t="s">
        <v>55</v>
      </c>
      <c r="H10" s="11" t="s">
        <v>56</v>
      </c>
      <c r="I10" s="11" t="s">
        <v>57</v>
      </c>
      <c r="J10" s="11" t="s">
        <v>58</v>
      </c>
      <c r="K10" s="11" t="s">
        <v>59</v>
      </c>
      <c r="L10" s="11" t="s">
        <v>60</v>
      </c>
      <c r="M10" s="11" t="s">
        <v>61</v>
      </c>
      <c r="N10" s="11" t="s">
        <v>62</v>
      </c>
    </row>
    <row r="11" spans="1:14" ht="36" customHeight="1">
      <c r="A11" s="12">
        <v>1</v>
      </c>
      <c r="B11" s="2" t="s">
        <v>134</v>
      </c>
      <c r="C11" s="13" t="s">
        <v>127</v>
      </c>
      <c r="D11" s="2" t="s">
        <v>128</v>
      </c>
      <c r="E11" s="14"/>
      <c r="F11" s="14"/>
      <c r="G11" s="14"/>
      <c r="H11" s="15">
        <f>IFERROR(IF(OR(E11="",F11="",G11=""),0,ROUND((E11+4*F11+G11)/6,0)),0)</f>
        <v>0</v>
      </c>
      <c r="I11" s="10">
        <f>H11*12</f>
        <v>0</v>
      </c>
      <c r="J11" s="14"/>
      <c r="K11" s="1" t="str">
        <f>IFERROR(IF(AND(H11&gt;0,J11&gt;0),ROUND(J11/H11,1),"-"),"-")</f>
        <v>-</v>
      </c>
      <c r="L11" s="16" t="str">
        <f>IFERROR(IF(J11&gt;0,(I11-J11)/J11,""),"")</f>
        <v/>
      </c>
      <c r="M11" s="13" t="s">
        <v>135</v>
      </c>
      <c r="N11" s="2"/>
    </row>
    <row r="12" spans="1:14" ht="36" customHeight="1">
      <c r="A12" s="12">
        <v>2</v>
      </c>
      <c r="B12" s="2" t="s">
        <v>136</v>
      </c>
      <c r="C12" s="13" t="s">
        <v>127</v>
      </c>
      <c r="D12" s="2" t="s">
        <v>137</v>
      </c>
      <c r="E12" s="14"/>
      <c r="F12" s="14"/>
      <c r="G12" s="14"/>
      <c r="H12" s="15">
        <f>IFERROR(IF(OR(E12="",F12="",G12=""),0,ROUND((E12+4*F12+G12)/6,0)),0)</f>
        <v>0</v>
      </c>
      <c r="I12" s="10">
        <f>H12*12</f>
        <v>0</v>
      </c>
      <c r="J12" s="14"/>
      <c r="K12" s="1" t="str">
        <f>IFERROR(IF(AND(H12&gt;0,J12&gt;0),ROUND(J12/H12,1),"-"),"-")</f>
        <v>-</v>
      </c>
      <c r="L12" s="16" t="str">
        <f>IFERROR(IF(J12&gt;0,(I12-J12)/J12,""),"")</f>
        <v/>
      </c>
      <c r="M12" s="13" t="s">
        <v>99</v>
      </c>
      <c r="N12" s="2"/>
    </row>
    <row r="13" spans="1:14" ht="36" customHeight="1">
      <c r="A13" s="12">
        <v>3</v>
      </c>
      <c r="B13" s="2" t="s">
        <v>138</v>
      </c>
      <c r="C13" s="13" t="s">
        <v>127</v>
      </c>
      <c r="D13" s="2" t="s">
        <v>139</v>
      </c>
      <c r="E13" s="14"/>
      <c r="F13" s="14"/>
      <c r="G13" s="14"/>
      <c r="H13" s="15">
        <f>IFERROR(IF(OR(E13="",F13="",G13=""),0,ROUND((E13+4*F13+G13)/6,0)),0)</f>
        <v>0</v>
      </c>
      <c r="I13" s="10">
        <f>H13*12</f>
        <v>0</v>
      </c>
      <c r="J13" s="14"/>
      <c r="K13" s="1" t="str">
        <f>IFERROR(IF(AND(H13&gt;0,J13&gt;0),ROUND(J13/H13,1),"-"),"-")</f>
        <v>-</v>
      </c>
      <c r="L13" s="16" t="str">
        <f>IFERROR(IF(J13&gt;0,(I13-J13)/J13,""),"")</f>
        <v/>
      </c>
      <c r="M13" s="13" t="s">
        <v>99</v>
      </c>
      <c r="N13" s="2"/>
    </row>
    <row r="14" spans="1:14" ht="36" customHeight="1">
      <c r="A14" s="12">
        <v>4</v>
      </c>
      <c r="B14" s="2" t="s">
        <v>140</v>
      </c>
      <c r="C14" s="13" t="s">
        <v>64</v>
      </c>
      <c r="D14" s="2" t="s">
        <v>68</v>
      </c>
      <c r="E14" s="14"/>
      <c r="F14" s="14"/>
      <c r="G14" s="14"/>
      <c r="H14" s="15">
        <f>IFERROR(IF(OR(E14="",F14="",G14=""),0,ROUND((E14+4*F14+G14)/6,0)),0)</f>
        <v>0</v>
      </c>
      <c r="I14" s="10">
        <f>H14*12</f>
        <v>0</v>
      </c>
      <c r="J14" s="14"/>
      <c r="K14" s="1" t="str">
        <f>IFERROR(IF(AND(H14&gt;0,J14&gt;0),ROUND(J14/H14,1),"-"),"-")</f>
        <v>-</v>
      </c>
      <c r="L14" s="16" t="str">
        <f>IFERROR(IF(J14&gt;0,(I14-J14)/J14,""),"")</f>
        <v/>
      </c>
      <c r="M14" s="13" t="s">
        <v>99</v>
      </c>
      <c r="N14" s="2"/>
    </row>
    <row r="15" spans="1:14" ht="36" customHeight="1">
      <c r="A15" s="12">
        <v>5</v>
      </c>
      <c r="B15" s="2" t="s">
        <v>141</v>
      </c>
      <c r="C15" s="13" t="s">
        <v>127</v>
      </c>
      <c r="D15" s="2" t="s">
        <v>128</v>
      </c>
      <c r="E15" s="14"/>
      <c r="F15" s="14"/>
      <c r="G15" s="14"/>
      <c r="H15" s="15">
        <f>IFERROR(IF(OR(E15="",F15="",G15=""),0,ROUND((E15+4*F15+G15)/6,0)),0)</f>
        <v>0</v>
      </c>
      <c r="I15" s="10">
        <f>H15*12</f>
        <v>0</v>
      </c>
      <c r="J15" s="14"/>
      <c r="K15" s="1" t="str">
        <f>IFERROR(IF(AND(H15&gt;0,J15&gt;0),ROUND(J15/H15,1),"-"),"-")</f>
        <v>-</v>
      </c>
      <c r="L15" s="16" t="str">
        <f>IFERROR(IF(J15&gt;0,(I15-J15)/J15,""),"")</f>
        <v/>
      </c>
      <c r="M15" s="13" t="s">
        <v>99</v>
      </c>
      <c r="N15" s="2"/>
    </row>
    <row r="16" spans="1:14" ht="36" customHeight="1">
      <c r="A16" s="12">
        <v>6</v>
      </c>
      <c r="B16" s="2"/>
      <c r="C16" s="13"/>
      <c r="D16" s="2"/>
      <c r="E16" s="14"/>
      <c r="F16" s="14"/>
      <c r="G16" s="14"/>
      <c r="H16" s="15">
        <f>IFERROR(IF(OR(E16="",F16="",G16=""),0,ROUND((E16+4*F16+G16)/6,0)),0)</f>
        <v>0</v>
      </c>
      <c r="I16" s="10">
        <f>H16*12</f>
        <v>0</v>
      </c>
      <c r="J16" s="14"/>
      <c r="K16" s="1" t="str">
        <f>IFERROR(IF(AND(H16&gt;0,J16&gt;0),ROUND(J16/H16,1),"-"),"-")</f>
        <v>-</v>
      </c>
      <c r="L16" s="16" t="str">
        <f>IFERROR(IF(J16&gt;0,(I16-J16)/J16,""),"")</f>
        <v/>
      </c>
      <c r="M16" s="13"/>
      <c r="N16" s="2"/>
    </row>
    <row r="17" spans="1:14" ht="36" customHeight="1">
      <c r="A17" s="12">
        <v>7</v>
      </c>
      <c r="B17" s="2"/>
      <c r="C17" s="13"/>
      <c r="D17" s="2"/>
      <c r="E17" s="14"/>
      <c r="F17" s="14"/>
      <c r="G17" s="14"/>
      <c r="H17" s="15">
        <f>IFERROR(IF(OR(E17="",F17="",G17=""),0,ROUND((E17+4*F17+G17)/6,0)),0)</f>
        <v>0</v>
      </c>
      <c r="I17" s="10">
        <f>H17*12</f>
        <v>0</v>
      </c>
      <c r="J17" s="14"/>
      <c r="K17" s="1" t="str">
        <f>IFERROR(IF(AND(H17&gt;0,J17&gt;0),ROUND(J17/H17,1),"-"),"-")</f>
        <v>-</v>
      </c>
      <c r="L17" s="16" t="str">
        <f>IFERROR(IF(J17&gt;0,(I17-J17)/J17,""),"")</f>
        <v/>
      </c>
      <c r="M17" s="13"/>
      <c r="N17" s="2"/>
    </row>
    <row r="18" spans="1:14" ht="36" customHeight="1">
      <c r="A18" s="12">
        <v>8</v>
      </c>
      <c r="B18" s="2"/>
      <c r="C18" s="13"/>
      <c r="D18" s="2"/>
      <c r="E18" s="14"/>
      <c r="F18" s="14"/>
      <c r="G18" s="14"/>
      <c r="H18" s="15">
        <f>IFERROR(IF(OR(E18="",F18="",G18=""),0,ROUND((E18+4*F18+G18)/6,0)),0)</f>
        <v>0</v>
      </c>
      <c r="I18" s="10">
        <f>H18*12</f>
        <v>0</v>
      </c>
      <c r="J18" s="14"/>
      <c r="K18" s="1" t="str">
        <f>IFERROR(IF(AND(H18&gt;0,J18&gt;0),ROUND(J18/H18,1),"-"),"-")</f>
        <v>-</v>
      </c>
      <c r="L18" s="16" t="str">
        <f>IFERROR(IF(J18&gt;0,(I18-J18)/J18,""),"")</f>
        <v/>
      </c>
      <c r="M18" s="13"/>
      <c r="N18" s="2"/>
    </row>
    <row r="19" spans="1:14" ht="36" customHeight="1">
      <c r="A19" s="12">
        <v>9</v>
      </c>
      <c r="B19" s="2"/>
      <c r="C19" s="13"/>
      <c r="D19" s="2"/>
      <c r="E19" s="14"/>
      <c r="F19" s="14"/>
      <c r="G19" s="14"/>
      <c r="H19" s="15">
        <f>IFERROR(IF(OR(E19="",F19="",G19=""),0,ROUND((E19+4*F19+G19)/6,0)),0)</f>
        <v>0</v>
      </c>
      <c r="I19" s="10">
        <f>H19*12</f>
        <v>0</v>
      </c>
      <c r="J19" s="14"/>
      <c r="K19" s="1" t="str">
        <f>IFERROR(IF(AND(H19&gt;0,J19&gt;0),ROUND(J19/H19,1),"-"),"-")</f>
        <v>-</v>
      </c>
      <c r="L19" s="16" t="str">
        <f>IFERROR(IF(J19&gt;0,(I19-J19)/J19,""),"")</f>
        <v/>
      </c>
      <c r="M19" s="13"/>
      <c r="N19" s="2"/>
    </row>
    <row r="20" spans="1:14" ht="36" customHeight="1">
      <c r="A20" s="12">
        <v>10</v>
      </c>
      <c r="B20" s="2"/>
      <c r="C20" s="13"/>
      <c r="D20" s="2"/>
      <c r="E20" s="14"/>
      <c r="F20" s="14"/>
      <c r="G20" s="14"/>
      <c r="H20" s="15">
        <f>IFERROR(IF(OR(E20="",F20="",G20=""),0,ROUND((E20+4*F20+G20)/6,0)),0)</f>
        <v>0</v>
      </c>
      <c r="I20" s="10">
        <f>H20*12</f>
        <v>0</v>
      </c>
      <c r="J20" s="14"/>
      <c r="K20" s="1" t="str">
        <f>IFERROR(IF(AND(H20&gt;0,J20&gt;0),ROUND(J20/H20,1),"-"),"-")</f>
        <v>-</v>
      </c>
      <c r="L20" s="16" t="str">
        <f>IFERROR(IF(J20&gt;0,(I20-J20)/J20,""),"")</f>
        <v/>
      </c>
      <c r="M20" s="13"/>
      <c r="N20" s="2"/>
    </row>
    <row r="21" spans="1:14" ht="36" customHeight="1">
      <c r="A21" s="12">
        <v>11</v>
      </c>
      <c r="B21" s="2"/>
      <c r="C21" s="13"/>
      <c r="D21" s="2"/>
      <c r="E21" s="14"/>
      <c r="F21" s="14"/>
      <c r="G21" s="14"/>
      <c r="H21" s="15">
        <f>IFERROR(IF(OR(E21="",F21="",G21=""),0,ROUND((E21+4*F21+G21)/6,0)),0)</f>
        <v>0</v>
      </c>
      <c r="I21" s="10">
        <f>H21*12</f>
        <v>0</v>
      </c>
      <c r="J21" s="14"/>
      <c r="K21" s="1" t="str">
        <f>IFERROR(IF(AND(H21&gt;0,J21&gt;0),ROUND(J21/H21,1),"-"),"-")</f>
        <v>-</v>
      </c>
      <c r="L21" s="16" t="str">
        <f>IFERROR(IF(J21&gt;0,(I21-J21)/J21,""),"")</f>
        <v/>
      </c>
      <c r="M21" s="13"/>
      <c r="N21" s="2"/>
    </row>
    <row r="22" spans="1:14" ht="36" customHeight="1">
      <c r="A22" s="12">
        <v>12</v>
      </c>
      <c r="B22" s="2"/>
      <c r="C22" s="13"/>
      <c r="D22" s="2"/>
      <c r="E22" s="14"/>
      <c r="F22" s="14"/>
      <c r="G22" s="14"/>
      <c r="H22" s="15">
        <f>IFERROR(IF(OR(E22="",F22="",G22=""),0,ROUND((E22+4*F22+G22)/6,0)),0)</f>
        <v>0</v>
      </c>
      <c r="I22" s="10">
        <f>H22*12</f>
        <v>0</v>
      </c>
      <c r="J22" s="14"/>
      <c r="K22" s="1" t="str">
        <f>IFERROR(IF(AND(H22&gt;0,J22&gt;0),ROUND(J22/H22,1),"-"),"-")</f>
        <v>-</v>
      </c>
      <c r="L22" s="16" t="str">
        <f>IFERROR(IF(J22&gt;0,(I22-J22)/J22,""),"")</f>
        <v/>
      </c>
      <c r="M22" s="13"/>
      <c r="N22" s="2"/>
    </row>
    <row r="23" spans="1:14" ht="36" customHeight="1">
      <c r="A23" s="12">
        <v>13</v>
      </c>
      <c r="B23" s="2"/>
      <c r="C23" s="13"/>
      <c r="D23" s="2"/>
      <c r="E23" s="14"/>
      <c r="F23" s="14"/>
      <c r="G23" s="14"/>
      <c r="H23" s="15">
        <f>IFERROR(IF(OR(E23="",F23="",G23=""),0,ROUND((E23+4*F23+G23)/6,0)),0)</f>
        <v>0</v>
      </c>
      <c r="I23" s="10">
        <f>H23*12</f>
        <v>0</v>
      </c>
      <c r="J23" s="14"/>
      <c r="K23" s="1" t="str">
        <f>IFERROR(IF(AND(H23&gt;0,J23&gt;0),ROUND(J23/H23,1),"-"),"-")</f>
        <v>-</v>
      </c>
      <c r="L23" s="16" t="str">
        <f>IFERROR(IF(J23&gt;0,(I23-J23)/J23,""),"")</f>
        <v/>
      </c>
      <c r="M23" s="13"/>
      <c r="N23" s="2"/>
    </row>
    <row r="24" spans="1:14" ht="36" customHeight="1">
      <c r="A24" s="12">
        <v>14</v>
      </c>
      <c r="B24" s="2"/>
      <c r="C24" s="13"/>
      <c r="D24" s="2"/>
      <c r="E24" s="14"/>
      <c r="F24" s="14"/>
      <c r="G24" s="14"/>
      <c r="H24" s="15">
        <f>IFERROR(IF(OR(E24="",F24="",G24=""),0,ROUND((E24+4*F24+G24)/6,0)),0)</f>
        <v>0</v>
      </c>
      <c r="I24" s="10">
        <f>H24*12</f>
        <v>0</v>
      </c>
      <c r="J24" s="14"/>
      <c r="K24" s="1" t="str">
        <f>IFERROR(IF(AND(H24&gt;0,J24&gt;0),ROUND(J24/H24,1),"-"),"-")</f>
        <v>-</v>
      </c>
      <c r="L24" s="16" t="str">
        <f>IFERROR(IF(J24&gt;0,(I24-J24)/J24,""),"")</f>
        <v/>
      </c>
      <c r="M24" s="13"/>
      <c r="N24" s="2"/>
    </row>
    <row r="25" spans="1:14" ht="36" customHeight="1">
      <c r="A25" s="12">
        <v>15</v>
      </c>
      <c r="B25" s="2"/>
      <c r="C25" s="13"/>
      <c r="D25" s="2"/>
      <c r="E25" s="14"/>
      <c r="F25" s="14"/>
      <c r="G25" s="14"/>
      <c r="H25" s="15">
        <f>IFERROR(IF(OR(E25="",F25="",G25=""),0,ROUND((E25+4*F25+G25)/6,0)),0)</f>
        <v>0</v>
      </c>
      <c r="I25" s="10">
        <f>H25*12</f>
        <v>0</v>
      </c>
      <c r="J25" s="14"/>
      <c r="K25" s="1" t="str">
        <f>IFERROR(IF(AND(H25&gt;0,J25&gt;0),ROUND(J25/H25,1),"-"),"-")</f>
        <v>-</v>
      </c>
      <c r="L25" s="16" t="str">
        <f>IFERROR(IF(J25&gt;0,(I25-J25)/J25,""),"")</f>
        <v/>
      </c>
      <c r="M25" s="13"/>
      <c r="N25" s="2"/>
    </row>
    <row r="26" spans="1:14" ht="27.75" customHeight="1">
      <c r="A26" s="33" t="s">
        <v>73</v>
      </c>
      <c r="B26" s="33"/>
      <c r="C26" s="33"/>
      <c r="D26" s="33"/>
      <c r="E26" s="18">
        <f>SUM(E11:E25)</f>
        <v>0</v>
      </c>
      <c r="F26" s="18">
        <f>SUM(F11:F25)</f>
        <v>0</v>
      </c>
      <c r="G26" s="18">
        <f>SUM(G11:G25)</f>
        <v>0</v>
      </c>
      <c r="H26" s="18">
        <f>SUM(H11:H25)</f>
        <v>0</v>
      </c>
      <c r="I26" s="18">
        <f>SUM(I11:I25)</f>
        <v>0</v>
      </c>
      <c r="J26" s="18">
        <f>SUM(J11:J25)</f>
        <v>0</v>
      </c>
      <c r="K26" s="19"/>
      <c r="L26" s="19"/>
      <c r="M26" s="19"/>
      <c r="N26" s="19"/>
    </row>
    <row r="28" spans="1:14" ht="21.75" customHeight="1">
      <c r="A28" s="26" t="s">
        <v>74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4" ht="21.75" customHeight="1">
      <c r="A29" s="11" t="s">
        <v>49</v>
      </c>
      <c r="B29" s="31" t="s">
        <v>75</v>
      </c>
      <c r="C29" s="31"/>
      <c r="D29" s="31"/>
      <c r="E29" s="31"/>
      <c r="F29" s="31"/>
      <c r="G29" s="31"/>
      <c r="H29" s="31" t="s">
        <v>76</v>
      </c>
      <c r="I29" s="31"/>
      <c r="J29" s="31"/>
      <c r="K29" s="31" t="s">
        <v>77</v>
      </c>
      <c r="L29" s="31"/>
      <c r="M29" s="31" t="s">
        <v>61</v>
      </c>
      <c r="N29" s="31"/>
    </row>
    <row r="30" spans="1:14" ht="24" customHeight="1">
      <c r="A30" s="12">
        <v>1</v>
      </c>
      <c r="B30" s="29"/>
      <c r="C30" s="29"/>
      <c r="D30" s="29"/>
      <c r="E30" s="29"/>
      <c r="F30" s="29"/>
      <c r="G30" s="29"/>
      <c r="H30" s="29"/>
      <c r="I30" s="29"/>
      <c r="J30" s="29"/>
      <c r="K30" s="32"/>
      <c r="L30" s="32"/>
      <c r="M30" s="30"/>
      <c r="N30" s="30"/>
    </row>
    <row r="31" spans="1:14" ht="24" customHeight="1">
      <c r="A31" s="12">
        <v>2</v>
      </c>
      <c r="B31" s="29"/>
      <c r="C31" s="29"/>
      <c r="D31" s="29"/>
      <c r="E31" s="29"/>
      <c r="F31" s="29"/>
      <c r="G31" s="29"/>
      <c r="H31" s="29"/>
      <c r="I31" s="29"/>
      <c r="J31" s="29"/>
      <c r="K31" s="32"/>
      <c r="L31" s="32"/>
      <c r="M31" s="30"/>
      <c r="N31" s="30"/>
    </row>
    <row r="32" spans="1:14" ht="24" customHeight="1">
      <c r="A32" s="12">
        <v>3</v>
      </c>
      <c r="B32" s="29"/>
      <c r="C32" s="29"/>
      <c r="D32" s="29"/>
      <c r="E32" s="29"/>
      <c r="F32" s="29"/>
      <c r="G32" s="29"/>
      <c r="H32" s="29"/>
      <c r="I32" s="29"/>
      <c r="J32" s="29"/>
      <c r="K32" s="32"/>
      <c r="L32" s="32"/>
      <c r="M32" s="30"/>
      <c r="N32" s="30"/>
    </row>
    <row r="33" spans="1:14" ht="24" customHeight="1">
      <c r="A33" s="12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32"/>
      <c r="L33" s="32"/>
      <c r="M33" s="30"/>
      <c r="N33" s="30"/>
    </row>
    <row r="34" spans="1:14" ht="24" customHeight="1">
      <c r="A34" s="12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32"/>
      <c r="L34" s="32"/>
      <c r="M34" s="30"/>
      <c r="N34" s="30"/>
    </row>
    <row r="35" spans="1:14" ht="24" customHeight="1">
      <c r="A35" s="12">
        <v>6</v>
      </c>
      <c r="B35" s="29"/>
      <c r="C35" s="29"/>
      <c r="D35" s="29"/>
      <c r="E35" s="29"/>
      <c r="F35" s="29"/>
      <c r="G35" s="29"/>
      <c r="H35" s="29"/>
      <c r="I35" s="29"/>
      <c r="J35" s="29"/>
      <c r="K35" s="32"/>
      <c r="L35" s="32"/>
      <c r="M35" s="30"/>
      <c r="N35" s="30"/>
    </row>
    <row r="37" spans="1:14" ht="21.75" customHeight="1">
      <c r="A37" s="26" t="s">
        <v>78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ht="21.75" customHeight="1">
      <c r="A38" s="31" t="s">
        <v>79</v>
      </c>
      <c r="B38" s="31"/>
      <c r="C38" s="31"/>
      <c r="D38" s="31"/>
      <c r="E38" s="31"/>
      <c r="F38" s="31" t="s">
        <v>80</v>
      </c>
      <c r="G38" s="31"/>
      <c r="H38" s="31"/>
      <c r="I38" s="31" t="s">
        <v>81</v>
      </c>
      <c r="J38" s="31"/>
      <c r="K38" s="31"/>
      <c r="L38" s="31" t="s">
        <v>82</v>
      </c>
      <c r="M38" s="31"/>
      <c r="N38" s="31"/>
    </row>
    <row r="39" spans="1:14" ht="21.75" customHeight="1">
      <c r="A39" s="29" t="s">
        <v>83</v>
      </c>
      <c r="B39" s="29"/>
      <c r="C39" s="29"/>
      <c r="D39" s="29"/>
      <c r="E39" s="29"/>
      <c r="F39" s="30"/>
      <c r="G39" s="30"/>
      <c r="H39" s="30"/>
      <c r="I39" s="30"/>
      <c r="J39" s="30"/>
      <c r="K39" s="30"/>
      <c r="L39" s="30" t="s">
        <v>84</v>
      </c>
      <c r="M39" s="30"/>
      <c r="N39" s="30"/>
    </row>
    <row r="40" spans="1:14" ht="21.75" customHeight="1">
      <c r="A40" s="29" t="s">
        <v>85</v>
      </c>
      <c r="B40" s="29"/>
      <c r="C40" s="29"/>
      <c r="D40" s="29"/>
      <c r="E40" s="29"/>
      <c r="F40" s="30"/>
      <c r="G40" s="30"/>
      <c r="H40" s="30"/>
      <c r="I40" s="30"/>
      <c r="J40" s="30"/>
      <c r="K40" s="30"/>
      <c r="L40" s="30" t="s">
        <v>84</v>
      </c>
      <c r="M40" s="30"/>
      <c r="N40" s="30"/>
    </row>
    <row r="41" spans="1:14" ht="21.75" customHeight="1">
      <c r="A41" s="29" t="s">
        <v>86</v>
      </c>
      <c r="B41" s="29"/>
      <c r="C41" s="29"/>
      <c r="D41" s="29"/>
      <c r="E41" s="29"/>
      <c r="F41" s="30"/>
      <c r="G41" s="30"/>
      <c r="H41" s="30"/>
      <c r="I41" s="30"/>
      <c r="J41" s="30"/>
      <c r="K41" s="30"/>
      <c r="L41" s="30" t="s">
        <v>84</v>
      </c>
      <c r="M41" s="30"/>
      <c r="N41" s="30"/>
    </row>
    <row r="42" spans="1:14" ht="21.75" customHeight="1">
      <c r="A42" s="29" t="s">
        <v>87</v>
      </c>
      <c r="B42" s="29"/>
      <c r="C42" s="29"/>
      <c r="D42" s="29"/>
      <c r="E42" s="29"/>
      <c r="F42" s="30"/>
      <c r="G42" s="30"/>
      <c r="H42" s="30"/>
      <c r="I42" s="30"/>
      <c r="J42" s="30"/>
      <c r="K42" s="30"/>
      <c r="L42" s="30" t="s">
        <v>84</v>
      </c>
      <c r="M42" s="30"/>
      <c r="N42" s="30"/>
    </row>
    <row r="43" spans="1:14" ht="21.75" customHeight="1">
      <c r="A43" s="29" t="s">
        <v>88</v>
      </c>
      <c r="B43" s="29"/>
      <c r="C43" s="29"/>
      <c r="D43" s="29"/>
      <c r="E43" s="29"/>
      <c r="F43" s="30"/>
      <c r="G43" s="30"/>
      <c r="H43" s="30"/>
      <c r="I43" s="30"/>
      <c r="J43" s="30"/>
      <c r="K43" s="30"/>
      <c r="L43" s="30" t="s">
        <v>84</v>
      </c>
      <c r="M43" s="30"/>
      <c r="N43" s="30"/>
    </row>
    <row r="44" spans="1:14" ht="21.75" customHeight="1">
      <c r="A44" s="29"/>
      <c r="B44" s="29"/>
      <c r="C44" s="29"/>
      <c r="D44" s="29"/>
      <c r="E44" s="29"/>
      <c r="F44" s="30"/>
      <c r="G44" s="30"/>
      <c r="H44" s="30"/>
      <c r="I44" s="30"/>
      <c r="J44" s="30"/>
      <c r="K44" s="30"/>
      <c r="L44" s="30"/>
      <c r="M44" s="30"/>
      <c r="N44" s="30"/>
    </row>
    <row r="45" spans="1:14" ht="21.75" customHeight="1">
      <c r="A45" s="29"/>
      <c r="B45" s="29"/>
      <c r="C45" s="29"/>
      <c r="D45" s="29"/>
      <c r="E45" s="29"/>
      <c r="F45" s="30"/>
      <c r="G45" s="30"/>
      <c r="H45" s="30"/>
      <c r="I45" s="30"/>
      <c r="J45" s="30"/>
      <c r="K45" s="30"/>
      <c r="L45" s="30"/>
      <c r="M45" s="30"/>
      <c r="N45" s="30"/>
    </row>
    <row r="46" spans="1:14" ht="21.75" customHeight="1">
      <c r="A46" s="29"/>
      <c r="B46" s="29"/>
      <c r="C46" s="29"/>
      <c r="D46" s="29"/>
      <c r="E46" s="29"/>
      <c r="F46" s="30"/>
      <c r="G46" s="30"/>
      <c r="H46" s="30"/>
      <c r="I46" s="30"/>
      <c r="J46" s="30"/>
      <c r="K46" s="30"/>
      <c r="L46" s="30"/>
      <c r="M46" s="30"/>
      <c r="N46" s="30"/>
    </row>
    <row r="48" spans="1:14" ht="21.75" customHeight="1">
      <c r="A48" s="26" t="s">
        <v>89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ht="36" customHeight="1">
      <c r="A49" s="27" t="s">
        <v>142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1" spans="1:14" ht="39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>
      <c r="A52" s="28" t="s">
        <v>91</v>
      </c>
      <c r="B52" s="28"/>
      <c r="C52" s="28"/>
      <c r="D52" s="28"/>
      <c r="E52" s="28"/>
      <c r="F52" s="28"/>
      <c r="G52" s="28"/>
      <c r="H52" s="28" t="s">
        <v>92</v>
      </c>
      <c r="I52" s="28"/>
      <c r="J52" s="28"/>
      <c r="K52" s="28"/>
      <c r="L52" s="28"/>
      <c r="M52" s="28"/>
      <c r="N52" s="28"/>
    </row>
    <row r="54" spans="1:14" ht="21.75" customHeight="1">
      <c r="A54" s="25" t="s">
        <v>39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</sheetData>
  <mergeCells count="87">
    <mergeCell ref="A1:N1"/>
    <mergeCell ref="A2:N2"/>
    <mergeCell ref="A3:N3"/>
    <mergeCell ref="A5:N5"/>
    <mergeCell ref="A6:C6"/>
    <mergeCell ref="D6:F6"/>
    <mergeCell ref="G6:H6"/>
    <mergeCell ref="I6:K6"/>
    <mergeCell ref="A7:C7"/>
    <mergeCell ref="D7:F7"/>
    <mergeCell ref="G7:H7"/>
    <mergeCell ref="I7:K7"/>
    <mergeCell ref="A9:N9"/>
    <mergeCell ref="A26:D26"/>
    <mergeCell ref="A28:N28"/>
    <mergeCell ref="B29:G29"/>
    <mergeCell ref="H29:J29"/>
    <mergeCell ref="K29:L29"/>
    <mergeCell ref="M29:N29"/>
    <mergeCell ref="B30:G30"/>
    <mergeCell ref="H30:J30"/>
    <mergeCell ref="K30:L30"/>
    <mergeCell ref="M30:N30"/>
    <mergeCell ref="B31:G31"/>
    <mergeCell ref="H31:J31"/>
    <mergeCell ref="K31:L31"/>
    <mergeCell ref="M31:N31"/>
    <mergeCell ref="B32:G32"/>
    <mergeCell ref="H32:J32"/>
    <mergeCell ref="K32:L32"/>
    <mergeCell ref="M32:N32"/>
    <mergeCell ref="B33:G33"/>
    <mergeCell ref="H33:J33"/>
    <mergeCell ref="K33:L33"/>
    <mergeCell ref="M33:N33"/>
    <mergeCell ref="B34:G34"/>
    <mergeCell ref="H34:J34"/>
    <mergeCell ref="K34:L34"/>
    <mergeCell ref="M34:N34"/>
    <mergeCell ref="B35:G35"/>
    <mergeCell ref="H35:J35"/>
    <mergeCell ref="K35:L35"/>
    <mergeCell ref="M35:N35"/>
    <mergeCell ref="A37:N37"/>
    <mergeCell ref="A38:E38"/>
    <mergeCell ref="F38:H38"/>
    <mergeCell ref="I38:K38"/>
    <mergeCell ref="L38:N38"/>
    <mergeCell ref="A39:E39"/>
    <mergeCell ref="F39:H39"/>
    <mergeCell ref="I39:K39"/>
    <mergeCell ref="L39:N39"/>
    <mergeCell ref="A40:E40"/>
    <mergeCell ref="F40:H40"/>
    <mergeCell ref="I40:K40"/>
    <mergeCell ref="L40:N40"/>
    <mergeCell ref="A41:E41"/>
    <mergeCell ref="F41:H41"/>
    <mergeCell ref="I41:K41"/>
    <mergeCell ref="L41:N41"/>
    <mergeCell ref="A42:E42"/>
    <mergeCell ref="F42:H42"/>
    <mergeCell ref="I42:K42"/>
    <mergeCell ref="L42:N42"/>
    <mergeCell ref="A43:E43"/>
    <mergeCell ref="F43:H43"/>
    <mergeCell ref="I43:K43"/>
    <mergeCell ref="L43:N43"/>
    <mergeCell ref="A44:E44"/>
    <mergeCell ref="F44:H44"/>
    <mergeCell ref="I44:K44"/>
    <mergeCell ref="L44:N44"/>
    <mergeCell ref="A45:E45"/>
    <mergeCell ref="F45:H45"/>
    <mergeCell ref="I45:K45"/>
    <mergeCell ref="L45:N45"/>
    <mergeCell ref="A46:E46"/>
    <mergeCell ref="F46:H46"/>
    <mergeCell ref="I46:K46"/>
    <mergeCell ref="L46:N46"/>
    <mergeCell ref="A54:N54"/>
    <mergeCell ref="A48:N48"/>
    <mergeCell ref="A49:N49"/>
    <mergeCell ref="A51:G51"/>
    <mergeCell ref="H51:N51"/>
    <mergeCell ref="A52:G52"/>
    <mergeCell ref="H52:N52"/>
  </mergeCells>
  <dataValidations count="5">
    <dataValidation type="list" allowBlank="1" sqref="C11:C25" xr:uid="{00000000-0002-0000-0500-000000000000}">
      <formula1>"AHORRO,INGRESO,MIXTA"</formula1>
      <formula2>0</formula2>
    </dataValidation>
    <dataValidation type="list" allowBlank="1" sqref="D11:D25" xr:uid="{00000000-0002-0000-0500-000001000000}">
      <formula1>"Renegociación proveedor,Cambio proveedor,Digitalización,Optimización proceso,Reducción consumo,Tecnología,Nueva fuente ingreso,B2B / Corporativo,Monetización activos,Servicios afiliados,Cumplimiento normativo,Otro"</formula1>
      <formula2>0</formula2>
    </dataValidation>
    <dataValidation type="list" allowBlank="1" sqref="M11:M25" xr:uid="{00000000-0002-0000-0500-000002000000}">
      <formula1>"Propuesta,Análisis,En análisis,Cotización,Negociación,Diseño,Piloto,En curso,Gestión,Por desarrollar,Materializado,Confirmado,Aprobado,Cancelado"</formula1>
      <formula2>0</formula2>
    </dataValidation>
    <dataValidation type="list" allowBlank="1" sqref="M30:M35" xr:uid="{00000000-0002-0000-0500-000003000000}">
      <formula1>"Pendiente,En curso,Completado"</formula1>
      <formula2>0</formula2>
    </dataValidation>
    <dataValidation type="list" allowBlank="1" sqref="L39:L46" xr:uid="{00000000-0002-0000-0500-000004000000}">
      <formula1>"Semanal,Quincenal,Mensual"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4"/>
  <sheetViews>
    <sheetView showGridLines="0" zoomScaleNormal="100" workbookViewId="0">
      <pane ySplit="10" topLeftCell="A11" activePane="bottomLeft" state="frozen"/>
      <selection pane="bottomLeft" activeCell="N16" sqref="N16"/>
    </sheetView>
  </sheetViews>
  <sheetFormatPr defaultColWidth="8.7109375" defaultRowHeight="15"/>
  <cols>
    <col min="1" max="1" width="4" customWidth="1"/>
    <col min="2" max="2" width="36" customWidth="1"/>
    <col min="3" max="3" width="10" customWidth="1"/>
    <col min="4" max="4" width="16" customWidth="1"/>
    <col min="5" max="8" width="12" customWidth="1"/>
    <col min="9" max="9" width="13" customWidth="1"/>
    <col min="10" max="10" width="11" customWidth="1"/>
    <col min="11" max="12" width="9" customWidth="1"/>
    <col min="13" max="13" width="13" customWidth="1"/>
    <col min="14" max="14" width="22" customWidth="1"/>
  </cols>
  <sheetData>
    <row r="1" spans="1:14" ht="18" customHeight="1">
      <c r="A1" s="37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31.5" customHeight="1">
      <c r="A2" s="38" t="s">
        <v>143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" customHeight="1">
      <c r="A3" s="39" t="s">
        <v>42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spans="1:14" ht="24" customHeight="1">
      <c r="A5" s="26" t="s">
        <v>43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21.75" customHeight="1">
      <c r="A6" s="40" t="s">
        <v>44</v>
      </c>
      <c r="B6" s="40"/>
      <c r="C6" s="40"/>
      <c r="D6" s="40" t="s">
        <v>45</v>
      </c>
      <c r="E6" s="40"/>
      <c r="F6" s="40"/>
      <c r="G6" s="40" t="s">
        <v>46</v>
      </c>
      <c r="H6" s="40"/>
      <c r="I6" s="40" t="s">
        <v>47</v>
      </c>
      <c r="J6" s="40"/>
      <c r="K6" s="40"/>
    </row>
    <row r="7" spans="1:14" ht="24" customHeight="1">
      <c r="A7" s="29"/>
      <c r="B7" s="29"/>
      <c r="C7" s="29"/>
      <c r="D7" s="34"/>
      <c r="E7" s="34"/>
      <c r="F7" s="34"/>
      <c r="G7" s="35">
        <f>COUNTA(B11:B25)</f>
        <v>7</v>
      </c>
      <c r="H7" s="35"/>
      <c r="I7" s="36">
        <f>SUM(I11:I25)</f>
        <v>41686134</v>
      </c>
      <c r="J7" s="36"/>
      <c r="K7" s="36"/>
    </row>
    <row r="9" spans="1:14" ht="24" customHeight="1">
      <c r="A9" s="26" t="s">
        <v>48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31.5" customHeight="1">
      <c r="A10" s="11" t="s">
        <v>49</v>
      </c>
      <c r="B10" s="11" t="s">
        <v>50</v>
      </c>
      <c r="C10" s="11" t="s">
        <v>51</v>
      </c>
      <c r="D10" s="11" t="s">
        <v>52</v>
      </c>
      <c r="E10" s="11" t="s">
        <v>53</v>
      </c>
      <c r="F10" s="11" t="s">
        <v>54</v>
      </c>
      <c r="G10" s="11" t="s">
        <v>55</v>
      </c>
      <c r="H10" s="11" t="s">
        <v>56</v>
      </c>
      <c r="I10" s="11" t="s">
        <v>57</v>
      </c>
      <c r="J10" s="11" t="s">
        <v>58</v>
      </c>
      <c r="K10" s="11" t="s">
        <v>59</v>
      </c>
      <c r="L10" s="11" t="s">
        <v>60</v>
      </c>
      <c r="M10" s="11" t="s">
        <v>61</v>
      </c>
      <c r="N10" s="11" t="s">
        <v>62</v>
      </c>
    </row>
    <row r="11" spans="1:14" ht="45.75" customHeight="1">
      <c r="A11" s="12">
        <v>1</v>
      </c>
      <c r="B11" s="2" t="s">
        <v>144</v>
      </c>
      <c r="C11" s="13" t="s">
        <v>64</v>
      </c>
      <c r="D11" s="2" t="s">
        <v>68</v>
      </c>
      <c r="E11" s="14">
        <v>6000000</v>
      </c>
      <c r="F11" s="14">
        <v>6000000</v>
      </c>
      <c r="G11" s="14">
        <v>6000000</v>
      </c>
      <c r="H11" s="15">
        <f>IFERROR(IF(OR(E11="",F11="",G11=""),0,ROUND((E11+4*F11+G11)/6,0)),0)</f>
        <v>6000000</v>
      </c>
      <c r="I11" s="10">
        <f>(H11*12)/2</f>
        <v>36000000</v>
      </c>
      <c r="J11" s="14"/>
      <c r="K11" s="1" t="str">
        <f>IFERROR(IF(AND(H11&gt;0,J11&gt;0),ROUND(J11/H11,1),"-"),"-")</f>
        <v>-</v>
      </c>
      <c r="L11" s="16" t="str">
        <f>IFERROR(IF(J11&gt;0,(I11-J11)/J11,""),"")</f>
        <v/>
      </c>
      <c r="M11" s="13" t="s">
        <v>145</v>
      </c>
      <c r="N11" s="2" t="s">
        <v>146</v>
      </c>
    </row>
    <row r="12" spans="1:14" ht="85.5" customHeight="1">
      <c r="A12" s="12">
        <v>2</v>
      </c>
      <c r="B12" s="2" t="s">
        <v>147</v>
      </c>
      <c r="C12" s="13" t="s">
        <v>64</v>
      </c>
      <c r="D12" s="2" t="s">
        <v>95</v>
      </c>
      <c r="E12" s="14"/>
      <c r="F12" s="14"/>
      <c r="G12" s="14"/>
      <c r="H12" s="15">
        <f>IFERROR(IF(OR(E12="",F12="",G12=""),0,ROUND((E12+4*F12+G12)/6,0)),0)</f>
        <v>0</v>
      </c>
      <c r="I12" s="10">
        <f>H12*12</f>
        <v>0</v>
      </c>
      <c r="J12" s="14"/>
      <c r="K12" s="1" t="str">
        <f>IFERROR(IF(AND(H12&gt;0,J12&gt;0),ROUND(J12/H12,1),"-"),"-")</f>
        <v>-</v>
      </c>
      <c r="L12" s="16" t="str">
        <f>IFERROR(IF(J12&gt;0,(I12-J12)/J12,""),"")</f>
        <v/>
      </c>
      <c r="M12" s="13" t="s">
        <v>99</v>
      </c>
      <c r="N12" s="2" t="s">
        <v>148</v>
      </c>
    </row>
    <row r="13" spans="1:14" ht="36" customHeight="1">
      <c r="A13" s="12">
        <v>3</v>
      </c>
      <c r="B13" s="2" t="s">
        <v>149</v>
      </c>
      <c r="C13" s="13" t="s">
        <v>64</v>
      </c>
      <c r="D13" s="2" t="s">
        <v>114</v>
      </c>
      <c r="E13" s="14"/>
      <c r="F13" s="14"/>
      <c r="G13" s="14"/>
      <c r="H13" s="15">
        <f>IFERROR(IF(OR(E13="",F13="",G13=""),0,ROUND((E13+4*F13+G13)/6,0)),0)</f>
        <v>0</v>
      </c>
      <c r="I13" s="10">
        <f>H13*12</f>
        <v>0</v>
      </c>
      <c r="J13" s="14"/>
      <c r="K13" s="1" t="str">
        <f>IFERROR(IF(AND(H13&gt;0,J13&gt;0),ROUND(J13/H13,1),"-"),"-")</f>
        <v>-</v>
      </c>
      <c r="L13" s="16" t="str">
        <f>IFERROR(IF(J13&gt;0,(I13-J13)/J13,""),"")</f>
        <v/>
      </c>
      <c r="M13" s="13" t="s">
        <v>115</v>
      </c>
      <c r="N13" s="2" t="s">
        <v>150</v>
      </c>
    </row>
    <row r="14" spans="1:14" ht="36" customHeight="1">
      <c r="A14" s="12">
        <v>4</v>
      </c>
      <c r="B14" s="2" t="s">
        <v>151</v>
      </c>
      <c r="C14" s="13" t="s">
        <v>64</v>
      </c>
      <c r="D14" s="2" t="s">
        <v>114</v>
      </c>
      <c r="E14" s="14"/>
      <c r="F14" s="14"/>
      <c r="G14" s="14"/>
      <c r="H14" s="15">
        <f>IFERROR(IF(OR(E14="",F14="",G14=""),0,ROUND((E14+4*F14+G14)/6,0)),0)</f>
        <v>0</v>
      </c>
      <c r="I14" s="10">
        <f>H14*12</f>
        <v>0</v>
      </c>
      <c r="J14" s="14"/>
      <c r="K14" s="1" t="str">
        <f>IFERROR(IF(AND(H14&gt;0,J14&gt;0),ROUND(J14/H14,1),"-"),"-")</f>
        <v>-</v>
      </c>
      <c r="L14" s="16" t="str">
        <f>IFERROR(IF(J14&gt;0,(I14-J14)/J14,""),"")</f>
        <v/>
      </c>
      <c r="M14" s="13" t="s">
        <v>115</v>
      </c>
      <c r="N14" s="2" t="s">
        <v>150</v>
      </c>
    </row>
    <row r="15" spans="1:14" ht="36" customHeight="1">
      <c r="A15" s="12">
        <v>5</v>
      </c>
      <c r="B15" s="2" t="s">
        <v>152</v>
      </c>
      <c r="C15" s="13" t="s">
        <v>123</v>
      </c>
      <c r="D15" s="2" t="s">
        <v>114</v>
      </c>
      <c r="E15" s="14"/>
      <c r="F15" s="14"/>
      <c r="G15" s="14"/>
      <c r="H15" s="15">
        <f>IFERROR(IF(OR(E15="",F15="",G15=""),0,ROUND((E15+4*F15+G15)/6,0)),0)</f>
        <v>0</v>
      </c>
      <c r="I15" s="10">
        <f>H15*12</f>
        <v>0</v>
      </c>
      <c r="J15" s="14"/>
      <c r="K15" s="1" t="str">
        <f>IFERROR(IF(AND(H15&gt;0,J15&gt;0),ROUND(J15/H15,1),"-"),"-")</f>
        <v>-</v>
      </c>
      <c r="L15" s="16" t="str">
        <f>IFERROR(IF(J15&gt;0,(I15-J15)/J15,""),"")</f>
        <v/>
      </c>
      <c r="M15" s="13" t="s">
        <v>135</v>
      </c>
      <c r="N15" s="2" t="s">
        <v>150</v>
      </c>
    </row>
    <row r="16" spans="1:14" ht="36" customHeight="1">
      <c r="A16" s="12">
        <v>6</v>
      </c>
      <c r="B16" s="2" t="s">
        <v>153</v>
      </c>
      <c r="C16" s="13" t="s">
        <v>64</v>
      </c>
      <c r="D16" s="2" t="s">
        <v>114</v>
      </c>
      <c r="E16" s="14"/>
      <c r="F16" s="14"/>
      <c r="G16" s="14"/>
      <c r="H16" s="15">
        <f>IFERROR(IF(OR(E16="",F16="",G16=""),0,ROUND((E16+4*F16+G16)/6,0)),0)</f>
        <v>0</v>
      </c>
      <c r="I16" s="10">
        <f>H16*12</f>
        <v>0</v>
      </c>
      <c r="J16" s="14"/>
      <c r="K16" s="1" t="str">
        <f>IFERROR(IF(AND(H16&gt;0,J16&gt;0),ROUND(J16/H16,1),"-"),"-")</f>
        <v>-</v>
      </c>
      <c r="L16" s="16" t="str">
        <f>IFERROR(IF(J16&gt;0,(I16-J16)/J16,""),"")</f>
        <v/>
      </c>
      <c r="M16" s="13" t="s">
        <v>99</v>
      </c>
      <c r="N16" s="2" t="s">
        <v>150</v>
      </c>
    </row>
    <row r="17" spans="1:14" ht="36" customHeight="1">
      <c r="A17" s="12">
        <v>7</v>
      </c>
      <c r="B17" s="2" t="s">
        <v>154</v>
      </c>
      <c r="C17" s="13" t="s">
        <v>64</v>
      </c>
      <c r="D17" s="2" t="s">
        <v>114</v>
      </c>
      <c r="E17" s="14">
        <v>947689</v>
      </c>
      <c r="F17" s="14">
        <v>947689</v>
      </c>
      <c r="G17" s="14">
        <v>947689</v>
      </c>
      <c r="H17" s="24">
        <f>IFERROR(IF(OR(E17="",F17="",G17=""),0,ROUND((E17+4*F17+G17)/6,0)),0)</f>
        <v>947689</v>
      </c>
      <c r="I17" s="10">
        <f>(H17*12)/2</f>
        <v>5686134</v>
      </c>
      <c r="J17" s="14"/>
      <c r="K17" s="1" t="str">
        <f>IFERROR(IF(AND(H17&gt;0,J17&gt;0),ROUND(J17/H17,1),"-"),"-")</f>
        <v>-</v>
      </c>
      <c r="L17" s="16" t="str">
        <f>IFERROR(IF(J17&gt;0,(I17-J17)/J17,""),"")</f>
        <v/>
      </c>
      <c r="M17" s="13" t="s">
        <v>72</v>
      </c>
      <c r="N17" s="2" t="s">
        <v>155</v>
      </c>
    </row>
    <row r="18" spans="1:14" ht="36" customHeight="1">
      <c r="A18" s="12">
        <v>8</v>
      </c>
      <c r="B18" s="2"/>
      <c r="C18" s="13"/>
      <c r="D18" s="2"/>
      <c r="E18" s="14"/>
      <c r="F18" s="14"/>
      <c r="G18" s="14"/>
      <c r="H18" s="15">
        <f>IFERROR(IF(OR(E18="",F18="",G18=""),0,ROUND((E18+4*F18+G18)/6,0)),0)</f>
        <v>0</v>
      </c>
      <c r="I18" s="10">
        <f>H18*12</f>
        <v>0</v>
      </c>
      <c r="J18" s="14"/>
      <c r="K18" s="1" t="str">
        <f>IFERROR(IF(AND(H18&gt;0,J18&gt;0),ROUND(J18/H18,1),"-"),"-")</f>
        <v>-</v>
      </c>
      <c r="L18" s="16" t="str">
        <f>IFERROR(IF(J18&gt;0,(I18-J18)/J18,""),"")</f>
        <v/>
      </c>
      <c r="M18" s="13"/>
      <c r="N18" s="2"/>
    </row>
    <row r="19" spans="1:14" ht="36" customHeight="1">
      <c r="A19" s="12">
        <v>9</v>
      </c>
      <c r="B19" s="2"/>
      <c r="C19" s="13"/>
      <c r="D19" s="2"/>
      <c r="E19" s="14"/>
      <c r="F19" s="14"/>
      <c r="G19" s="14"/>
      <c r="H19" s="15">
        <f>IFERROR(IF(OR(E19="",F19="",G19=""),0,ROUND((E19+4*F19+G19)/6,0)),0)</f>
        <v>0</v>
      </c>
      <c r="I19" s="10">
        <f>H19*12</f>
        <v>0</v>
      </c>
      <c r="J19" s="14"/>
      <c r="K19" s="1" t="str">
        <f>IFERROR(IF(AND(H19&gt;0,J19&gt;0),ROUND(J19/H19,1),"-"),"-")</f>
        <v>-</v>
      </c>
      <c r="L19" s="16" t="str">
        <f>IFERROR(IF(J19&gt;0,(I19-J19)/J19,""),"")</f>
        <v/>
      </c>
      <c r="M19" s="13"/>
      <c r="N19" s="2"/>
    </row>
    <row r="20" spans="1:14" ht="36" customHeight="1">
      <c r="A20" s="12">
        <v>10</v>
      </c>
      <c r="B20" s="2"/>
      <c r="C20" s="13"/>
      <c r="D20" s="2"/>
      <c r="E20" s="14"/>
      <c r="F20" s="14"/>
      <c r="G20" s="14"/>
      <c r="H20" s="15">
        <f>IFERROR(IF(OR(E20="",F20="",G20=""),0,ROUND((E20+4*F20+G20)/6,0)),0)</f>
        <v>0</v>
      </c>
      <c r="I20" s="10">
        <f>H20*12</f>
        <v>0</v>
      </c>
      <c r="J20" s="14"/>
      <c r="K20" s="1" t="str">
        <f>IFERROR(IF(AND(H20&gt;0,J20&gt;0),ROUND(J20/H20,1),"-"),"-")</f>
        <v>-</v>
      </c>
      <c r="L20" s="16" t="str">
        <f>IFERROR(IF(J20&gt;0,(I20-J20)/J20,""),"")</f>
        <v/>
      </c>
      <c r="M20" s="13"/>
      <c r="N20" s="2"/>
    </row>
    <row r="21" spans="1:14" ht="36" customHeight="1">
      <c r="A21" s="12">
        <v>11</v>
      </c>
      <c r="B21" s="2"/>
      <c r="C21" s="13"/>
      <c r="D21" s="2"/>
      <c r="E21" s="14"/>
      <c r="F21" s="14"/>
      <c r="G21" s="14"/>
      <c r="H21" s="15">
        <f>IFERROR(IF(OR(E21="",F21="",G21=""),0,ROUND((E21+4*F21+G21)/6,0)),0)</f>
        <v>0</v>
      </c>
      <c r="I21" s="10">
        <f>H21*12</f>
        <v>0</v>
      </c>
      <c r="J21" s="14"/>
      <c r="K21" s="1" t="str">
        <f>IFERROR(IF(AND(H21&gt;0,J21&gt;0),ROUND(J21/H21,1),"-"),"-")</f>
        <v>-</v>
      </c>
      <c r="L21" s="16" t="str">
        <f>IFERROR(IF(J21&gt;0,(I21-J21)/J21,""),"")</f>
        <v/>
      </c>
      <c r="M21" s="13"/>
      <c r="N21" s="2"/>
    </row>
    <row r="22" spans="1:14" ht="36" customHeight="1">
      <c r="A22" s="12">
        <v>12</v>
      </c>
      <c r="B22" s="2"/>
      <c r="C22" s="13"/>
      <c r="D22" s="2"/>
      <c r="E22" s="14"/>
      <c r="F22" s="14"/>
      <c r="G22" s="14"/>
      <c r="H22" s="15">
        <f>IFERROR(IF(OR(E22="",F22="",G22=""),0,ROUND((E22+4*F22+G22)/6,0)),0)</f>
        <v>0</v>
      </c>
      <c r="I22" s="10">
        <f>H22*12</f>
        <v>0</v>
      </c>
      <c r="J22" s="14"/>
      <c r="K22" s="1" t="str">
        <f>IFERROR(IF(AND(H22&gt;0,J22&gt;0),ROUND(J22/H22,1),"-"),"-")</f>
        <v>-</v>
      </c>
      <c r="L22" s="16" t="str">
        <f>IFERROR(IF(J22&gt;0,(I22-J22)/J22,""),"")</f>
        <v/>
      </c>
      <c r="M22" s="13"/>
      <c r="N22" s="2"/>
    </row>
    <row r="23" spans="1:14" ht="36" customHeight="1">
      <c r="A23" s="12">
        <v>13</v>
      </c>
      <c r="B23" s="2"/>
      <c r="C23" s="13"/>
      <c r="D23" s="2"/>
      <c r="E23" s="14"/>
      <c r="F23" s="14"/>
      <c r="G23" s="14"/>
      <c r="H23" s="15">
        <f>IFERROR(IF(OR(E23="",F23="",G23=""),0,ROUND((E23+4*F23+G23)/6,0)),0)</f>
        <v>0</v>
      </c>
      <c r="I23" s="10">
        <f>H23*12</f>
        <v>0</v>
      </c>
      <c r="J23" s="14"/>
      <c r="K23" s="1" t="str">
        <f>IFERROR(IF(AND(H23&gt;0,J23&gt;0),ROUND(J23/H23,1),"-"),"-")</f>
        <v>-</v>
      </c>
      <c r="L23" s="16" t="str">
        <f>IFERROR(IF(J23&gt;0,(I23-J23)/J23,""),"")</f>
        <v/>
      </c>
      <c r="M23" s="13"/>
      <c r="N23" s="2"/>
    </row>
    <row r="24" spans="1:14" ht="36" customHeight="1">
      <c r="A24" s="12">
        <v>14</v>
      </c>
      <c r="B24" s="2"/>
      <c r="C24" s="13"/>
      <c r="D24" s="2"/>
      <c r="E24" s="14"/>
      <c r="F24" s="14"/>
      <c r="G24" s="14"/>
      <c r="H24" s="15">
        <f>IFERROR(IF(OR(E24="",F24="",G24=""),0,ROUND((E24+4*F24+G24)/6,0)),0)</f>
        <v>0</v>
      </c>
      <c r="I24" s="10">
        <f>H24*12</f>
        <v>0</v>
      </c>
      <c r="J24" s="14"/>
      <c r="K24" s="1" t="str">
        <f>IFERROR(IF(AND(H24&gt;0,J24&gt;0),ROUND(J24/H24,1),"-"),"-")</f>
        <v>-</v>
      </c>
      <c r="L24" s="16" t="str">
        <f>IFERROR(IF(J24&gt;0,(I24-J24)/J24,""),"")</f>
        <v/>
      </c>
      <c r="M24" s="13"/>
      <c r="N24" s="2"/>
    </row>
    <row r="25" spans="1:14" ht="36" customHeight="1">
      <c r="A25" s="12">
        <v>15</v>
      </c>
      <c r="B25" s="2"/>
      <c r="C25" s="13"/>
      <c r="D25" s="2"/>
      <c r="E25" s="14"/>
      <c r="F25" s="14"/>
      <c r="G25" s="14"/>
      <c r="H25" s="15">
        <f>IFERROR(IF(OR(E25="",F25="",G25=""),0,ROUND((E25+4*F25+G25)/6,0)),0)</f>
        <v>0</v>
      </c>
      <c r="I25" s="10">
        <f>H25*12</f>
        <v>0</v>
      </c>
      <c r="J25" s="14"/>
      <c r="K25" s="1" t="str">
        <f>IFERROR(IF(AND(H25&gt;0,J25&gt;0),ROUND(J25/H25,1),"-"),"-")</f>
        <v>-</v>
      </c>
      <c r="L25" s="16" t="str">
        <f>IFERROR(IF(J25&gt;0,(I25-J25)/J25,""),"")</f>
        <v/>
      </c>
      <c r="M25" s="13"/>
      <c r="N25" s="2"/>
    </row>
    <row r="26" spans="1:14" ht="27.75" customHeight="1">
      <c r="A26" s="33" t="s">
        <v>73</v>
      </c>
      <c r="B26" s="33"/>
      <c r="C26" s="33"/>
      <c r="D26" s="33"/>
      <c r="E26" s="18">
        <f>SUM(E11:E25)</f>
        <v>6947689</v>
      </c>
      <c r="F26" s="18">
        <f>SUM(F11:F25)</f>
        <v>6947689</v>
      </c>
      <c r="G26" s="18">
        <f>SUM(G11:G25)</f>
        <v>6947689</v>
      </c>
      <c r="H26" s="18">
        <f>SUM(H11:H25)</f>
        <v>6947689</v>
      </c>
      <c r="I26" s="18">
        <f>SUM(I11:I25)</f>
        <v>41686134</v>
      </c>
      <c r="J26" s="18">
        <f>SUM(J11:J25)</f>
        <v>0</v>
      </c>
      <c r="K26" s="19"/>
      <c r="L26" s="19"/>
      <c r="M26" s="19"/>
      <c r="N26" s="19"/>
    </row>
    <row r="28" spans="1:14" ht="21.75" customHeight="1">
      <c r="A28" s="26" t="s">
        <v>74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4" ht="21.75" customHeight="1">
      <c r="A29" s="11" t="s">
        <v>49</v>
      </c>
      <c r="B29" s="31" t="s">
        <v>75</v>
      </c>
      <c r="C29" s="31"/>
      <c r="D29" s="31"/>
      <c r="E29" s="31"/>
      <c r="F29" s="31"/>
      <c r="G29" s="31"/>
      <c r="H29" s="31" t="s">
        <v>76</v>
      </c>
      <c r="I29" s="31"/>
      <c r="J29" s="31"/>
      <c r="K29" s="31" t="s">
        <v>77</v>
      </c>
      <c r="L29" s="31"/>
      <c r="M29" s="31" t="s">
        <v>61</v>
      </c>
      <c r="N29" s="31"/>
    </row>
    <row r="30" spans="1:14" ht="24" customHeight="1">
      <c r="A30" s="12">
        <v>1</v>
      </c>
      <c r="B30" s="29"/>
      <c r="C30" s="29"/>
      <c r="D30" s="29"/>
      <c r="E30" s="29"/>
      <c r="F30" s="29"/>
      <c r="G30" s="29"/>
      <c r="H30" s="29"/>
      <c r="I30" s="29"/>
      <c r="J30" s="29"/>
      <c r="K30" s="32"/>
      <c r="L30" s="32"/>
      <c r="M30" s="30"/>
      <c r="N30" s="30"/>
    </row>
    <row r="31" spans="1:14" ht="24" customHeight="1">
      <c r="A31" s="12">
        <v>2</v>
      </c>
      <c r="B31" s="29"/>
      <c r="C31" s="29"/>
      <c r="D31" s="29"/>
      <c r="E31" s="29"/>
      <c r="F31" s="29"/>
      <c r="G31" s="29"/>
      <c r="H31" s="29"/>
      <c r="I31" s="29"/>
      <c r="J31" s="29"/>
      <c r="K31" s="32"/>
      <c r="L31" s="32"/>
      <c r="M31" s="30"/>
      <c r="N31" s="30"/>
    </row>
    <row r="32" spans="1:14" ht="24" customHeight="1">
      <c r="A32" s="12">
        <v>3</v>
      </c>
      <c r="B32" s="29"/>
      <c r="C32" s="29"/>
      <c r="D32" s="29"/>
      <c r="E32" s="29"/>
      <c r="F32" s="29"/>
      <c r="G32" s="29"/>
      <c r="H32" s="29"/>
      <c r="I32" s="29"/>
      <c r="J32" s="29"/>
      <c r="K32" s="32"/>
      <c r="L32" s="32"/>
      <c r="M32" s="30"/>
      <c r="N32" s="30"/>
    </row>
    <row r="33" spans="1:14" ht="24" customHeight="1">
      <c r="A33" s="12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32"/>
      <c r="L33" s="32"/>
      <c r="M33" s="30"/>
      <c r="N33" s="30"/>
    </row>
    <row r="34" spans="1:14" ht="24" customHeight="1">
      <c r="A34" s="12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32"/>
      <c r="L34" s="32"/>
      <c r="M34" s="30"/>
      <c r="N34" s="30"/>
    </row>
    <row r="35" spans="1:14" ht="24" customHeight="1">
      <c r="A35" s="12">
        <v>6</v>
      </c>
      <c r="B35" s="29"/>
      <c r="C35" s="29"/>
      <c r="D35" s="29"/>
      <c r="E35" s="29"/>
      <c r="F35" s="29"/>
      <c r="G35" s="29"/>
      <c r="H35" s="29"/>
      <c r="I35" s="29"/>
      <c r="J35" s="29"/>
      <c r="K35" s="32"/>
      <c r="L35" s="32"/>
      <c r="M35" s="30"/>
      <c r="N35" s="30"/>
    </row>
    <row r="37" spans="1:14" ht="21.75" customHeight="1">
      <c r="A37" s="26" t="s">
        <v>78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ht="21.75" customHeight="1">
      <c r="A38" s="31" t="s">
        <v>79</v>
      </c>
      <c r="B38" s="31"/>
      <c r="C38" s="31"/>
      <c r="D38" s="31"/>
      <c r="E38" s="31"/>
      <c r="F38" s="31" t="s">
        <v>80</v>
      </c>
      <c r="G38" s="31"/>
      <c r="H38" s="31"/>
      <c r="I38" s="31" t="s">
        <v>81</v>
      </c>
      <c r="J38" s="31"/>
      <c r="K38" s="31"/>
      <c r="L38" s="31" t="s">
        <v>82</v>
      </c>
      <c r="M38" s="31"/>
      <c r="N38" s="31"/>
    </row>
    <row r="39" spans="1:14" ht="21.75" customHeight="1">
      <c r="A39" s="29" t="s">
        <v>83</v>
      </c>
      <c r="B39" s="29"/>
      <c r="C39" s="29"/>
      <c r="D39" s="29"/>
      <c r="E39" s="29"/>
      <c r="F39" s="30"/>
      <c r="G39" s="30"/>
      <c r="H39" s="30"/>
      <c r="I39" s="30"/>
      <c r="J39" s="30"/>
      <c r="K39" s="30"/>
      <c r="L39" s="30" t="s">
        <v>84</v>
      </c>
      <c r="M39" s="30"/>
      <c r="N39" s="30"/>
    </row>
    <row r="40" spans="1:14" ht="21.75" customHeight="1">
      <c r="A40" s="29" t="s">
        <v>85</v>
      </c>
      <c r="B40" s="29"/>
      <c r="C40" s="29"/>
      <c r="D40" s="29"/>
      <c r="E40" s="29"/>
      <c r="F40" s="30"/>
      <c r="G40" s="30"/>
      <c r="H40" s="30"/>
      <c r="I40" s="30"/>
      <c r="J40" s="30"/>
      <c r="K40" s="30"/>
      <c r="L40" s="30" t="s">
        <v>84</v>
      </c>
      <c r="M40" s="30"/>
      <c r="N40" s="30"/>
    </row>
    <row r="41" spans="1:14" ht="21.75" customHeight="1">
      <c r="A41" s="29" t="s">
        <v>86</v>
      </c>
      <c r="B41" s="29"/>
      <c r="C41" s="29"/>
      <c r="D41" s="29"/>
      <c r="E41" s="29"/>
      <c r="F41" s="30"/>
      <c r="G41" s="30"/>
      <c r="H41" s="30"/>
      <c r="I41" s="30"/>
      <c r="J41" s="30"/>
      <c r="K41" s="30"/>
      <c r="L41" s="30" t="s">
        <v>84</v>
      </c>
      <c r="M41" s="30"/>
      <c r="N41" s="30"/>
    </row>
    <row r="42" spans="1:14" ht="21.75" customHeight="1">
      <c r="A42" s="29" t="s">
        <v>87</v>
      </c>
      <c r="B42" s="29"/>
      <c r="C42" s="29"/>
      <c r="D42" s="29"/>
      <c r="E42" s="29"/>
      <c r="F42" s="30"/>
      <c r="G42" s="30"/>
      <c r="H42" s="30"/>
      <c r="I42" s="30"/>
      <c r="J42" s="30"/>
      <c r="K42" s="30"/>
      <c r="L42" s="30" t="s">
        <v>84</v>
      </c>
      <c r="M42" s="30"/>
      <c r="N42" s="30"/>
    </row>
    <row r="43" spans="1:14" ht="21.75" customHeight="1">
      <c r="A43" s="29" t="s">
        <v>88</v>
      </c>
      <c r="B43" s="29"/>
      <c r="C43" s="29"/>
      <c r="D43" s="29"/>
      <c r="E43" s="29"/>
      <c r="F43" s="30"/>
      <c r="G43" s="30"/>
      <c r="H43" s="30"/>
      <c r="I43" s="30"/>
      <c r="J43" s="30"/>
      <c r="K43" s="30"/>
      <c r="L43" s="30" t="s">
        <v>84</v>
      </c>
      <c r="M43" s="30"/>
      <c r="N43" s="30"/>
    </row>
    <row r="44" spans="1:14" ht="21.75" customHeight="1">
      <c r="A44" s="29"/>
      <c r="B44" s="29"/>
      <c r="C44" s="29"/>
      <c r="D44" s="29"/>
      <c r="E44" s="29"/>
      <c r="F44" s="30"/>
      <c r="G44" s="30"/>
      <c r="H44" s="30"/>
      <c r="I44" s="30"/>
      <c r="J44" s="30"/>
      <c r="K44" s="30"/>
      <c r="L44" s="30"/>
      <c r="M44" s="30"/>
      <c r="N44" s="30"/>
    </row>
    <row r="45" spans="1:14" ht="21.75" customHeight="1">
      <c r="A45" s="29"/>
      <c r="B45" s="29"/>
      <c r="C45" s="29"/>
      <c r="D45" s="29"/>
      <c r="E45" s="29"/>
      <c r="F45" s="30"/>
      <c r="G45" s="30"/>
      <c r="H45" s="30"/>
      <c r="I45" s="30"/>
      <c r="J45" s="30"/>
      <c r="K45" s="30"/>
      <c r="L45" s="30"/>
      <c r="M45" s="30"/>
      <c r="N45" s="30"/>
    </row>
    <row r="46" spans="1:14" ht="21.75" customHeight="1">
      <c r="A46" s="29"/>
      <c r="B46" s="29"/>
      <c r="C46" s="29"/>
      <c r="D46" s="29"/>
      <c r="E46" s="29"/>
      <c r="F46" s="30"/>
      <c r="G46" s="30"/>
      <c r="H46" s="30"/>
      <c r="I46" s="30"/>
      <c r="J46" s="30"/>
      <c r="K46" s="30"/>
      <c r="L46" s="30"/>
      <c r="M46" s="30"/>
      <c r="N46" s="30"/>
    </row>
    <row r="48" spans="1:14" ht="21.75" customHeight="1">
      <c r="A48" s="26" t="s">
        <v>89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ht="36" customHeight="1">
      <c r="A49" s="27" t="s">
        <v>156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1" spans="1:14" ht="39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>
      <c r="A52" s="28" t="s">
        <v>91</v>
      </c>
      <c r="B52" s="28"/>
      <c r="C52" s="28"/>
      <c r="D52" s="28"/>
      <c r="E52" s="28"/>
      <c r="F52" s="28"/>
      <c r="G52" s="28"/>
      <c r="H52" s="28" t="s">
        <v>92</v>
      </c>
      <c r="I52" s="28"/>
      <c r="J52" s="28"/>
      <c r="K52" s="28"/>
      <c r="L52" s="28"/>
      <c r="M52" s="28"/>
      <c r="N52" s="28"/>
    </row>
    <row r="54" spans="1:14" ht="21.75" customHeight="1">
      <c r="A54" s="25" t="s">
        <v>39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</sheetData>
  <mergeCells count="87">
    <mergeCell ref="A1:N1"/>
    <mergeCell ref="A2:N2"/>
    <mergeCell ref="A3:N3"/>
    <mergeCell ref="A5:N5"/>
    <mergeCell ref="A6:C6"/>
    <mergeCell ref="D6:F6"/>
    <mergeCell ref="G6:H6"/>
    <mergeCell ref="I6:K6"/>
    <mergeCell ref="A7:C7"/>
    <mergeCell ref="D7:F7"/>
    <mergeCell ref="G7:H7"/>
    <mergeCell ref="I7:K7"/>
    <mergeCell ref="A9:N9"/>
    <mergeCell ref="A26:D26"/>
    <mergeCell ref="A28:N28"/>
    <mergeCell ref="B29:G29"/>
    <mergeCell ref="H29:J29"/>
    <mergeCell ref="K29:L29"/>
    <mergeCell ref="M29:N29"/>
    <mergeCell ref="B30:G30"/>
    <mergeCell ref="H30:J30"/>
    <mergeCell ref="K30:L30"/>
    <mergeCell ref="M30:N30"/>
    <mergeCell ref="B31:G31"/>
    <mergeCell ref="H31:J31"/>
    <mergeCell ref="K31:L31"/>
    <mergeCell ref="M31:N31"/>
    <mergeCell ref="B32:G32"/>
    <mergeCell ref="H32:J32"/>
    <mergeCell ref="K32:L32"/>
    <mergeCell ref="M32:N32"/>
    <mergeCell ref="B33:G33"/>
    <mergeCell ref="H33:J33"/>
    <mergeCell ref="K33:L33"/>
    <mergeCell ref="M33:N33"/>
    <mergeCell ref="B34:G34"/>
    <mergeCell ref="H34:J34"/>
    <mergeCell ref="K34:L34"/>
    <mergeCell ref="M34:N34"/>
    <mergeCell ref="B35:G35"/>
    <mergeCell ref="H35:J35"/>
    <mergeCell ref="K35:L35"/>
    <mergeCell ref="M35:N35"/>
    <mergeCell ref="A37:N37"/>
    <mergeCell ref="A38:E38"/>
    <mergeCell ref="F38:H38"/>
    <mergeCell ref="I38:K38"/>
    <mergeCell ref="L38:N38"/>
    <mergeCell ref="A39:E39"/>
    <mergeCell ref="F39:H39"/>
    <mergeCell ref="I39:K39"/>
    <mergeCell ref="L39:N39"/>
    <mergeCell ref="A40:E40"/>
    <mergeCell ref="F40:H40"/>
    <mergeCell ref="I40:K40"/>
    <mergeCell ref="L40:N40"/>
    <mergeCell ref="A41:E41"/>
    <mergeCell ref="F41:H41"/>
    <mergeCell ref="I41:K41"/>
    <mergeCell ref="L41:N41"/>
    <mergeCell ref="A42:E42"/>
    <mergeCell ref="F42:H42"/>
    <mergeCell ref="I42:K42"/>
    <mergeCell ref="L42:N42"/>
    <mergeCell ref="A43:E43"/>
    <mergeCell ref="F43:H43"/>
    <mergeCell ref="I43:K43"/>
    <mergeCell ref="L43:N43"/>
    <mergeCell ref="A44:E44"/>
    <mergeCell ref="F44:H44"/>
    <mergeCell ref="I44:K44"/>
    <mergeCell ref="L44:N44"/>
    <mergeCell ref="A45:E45"/>
    <mergeCell ref="F45:H45"/>
    <mergeCell ref="I45:K45"/>
    <mergeCell ref="L45:N45"/>
    <mergeCell ref="A46:E46"/>
    <mergeCell ref="F46:H46"/>
    <mergeCell ref="I46:K46"/>
    <mergeCell ref="L46:N46"/>
    <mergeCell ref="A54:N54"/>
    <mergeCell ref="A48:N48"/>
    <mergeCell ref="A49:N49"/>
    <mergeCell ref="A51:G51"/>
    <mergeCell ref="H51:N51"/>
    <mergeCell ref="A52:G52"/>
    <mergeCell ref="H52:N52"/>
  </mergeCells>
  <dataValidations count="5">
    <dataValidation type="list" allowBlank="1" sqref="C11:C25" xr:uid="{00000000-0002-0000-0600-000000000000}">
      <formula1>"AHORRO,INGRESO,MIXTA"</formula1>
      <formula2>0</formula2>
    </dataValidation>
    <dataValidation type="list" allowBlank="1" sqref="D11:D25" xr:uid="{00000000-0002-0000-0600-000001000000}">
      <formula1>"Renegociación proveedor,Cambio proveedor,Digitalización,Optimización proceso,Reducción consumo,Tecnología,Nueva fuente ingreso,B2B / Corporativo,Monetización activos,Servicios afiliados,Cumplimiento normativo,Otro"</formula1>
      <formula2>0</formula2>
    </dataValidation>
    <dataValidation type="list" allowBlank="1" sqref="M11:M25" xr:uid="{00000000-0002-0000-0600-000002000000}">
      <formula1>"Propuesta,Análisis,En análisis,Cotización,Negociación,Diseño,Piloto,En curso,Gestión,Por desarrollar,Materializado,Confirmado,Aprobado,Cancelado"</formula1>
      <formula2>0</formula2>
    </dataValidation>
    <dataValidation type="list" allowBlank="1" sqref="M30:M35" xr:uid="{00000000-0002-0000-0600-000003000000}">
      <formula1>"Pendiente,En curso,Completado"</formula1>
      <formula2>0</formula2>
    </dataValidation>
    <dataValidation type="list" allowBlank="1" sqref="L39:L46" xr:uid="{00000000-0002-0000-0600-000004000000}">
      <formula1>"Semanal,Quincenal,Mensual"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9"/>
  <sheetViews>
    <sheetView showGridLines="0" zoomScaleNormal="100" workbookViewId="0">
      <pane ySplit="10" topLeftCell="A11" activePane="bottomLeft" state="frozen"/>
      <selection pane="bottomLeft" activeCell="E13" sqref="E13"/>
    </sheetView>
  </sheetViews>
  <sheetFormatPr defaultColWidth="8.7109375" defaultRowHeight="15"/>
  <cols>
    <col min="1" max="1" width="4" customWidth="1"/>
    <col min="2" max="2" width="36" customWidth="1"/>
    <col min="3" max="3" width="10" customWidth="1"/>
    <col min="4" max="4" width="16" customWidth="1"/>
    <col min="5" max="8" width="12" customWidth="1"/>
    <col min="9" max="9" width="13" customWidth="1"/>
    <col min="10" max="10" width="11" customWidth="1"/>
    <col min="11" max="12" width="9" customWidth="1"/>
    <col min="13" max="13" width="13" customWidth="1"/>
    <col min="14" max="14" width="22" customWidth="1"/>
  </cols>
  <sheetData>
    <row r="1" spans="1:14" ht="18" customHeight="1">
      <c r="A1" s="37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31.5" customHeight="1">
      <c r="A2" s="38" t="s">
        <v>157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" customHeight="1">
      <c r="A3" s="39" t="s">
        <v>42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spans="1:14" ht="24" customHeight="1">
      <c r="A5" s="26" t="s">
        <v>43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21.75" customHeight="1">
      <c r="A6" s="40" t="s">
        <v>44</v>
      </c>
      <c r="B6" s="40"/>
      <c r="C6" s="40"/>
      <c r="D6" s="40" t="s">
        <v>45</v>
      </c>
      <c r="E6" s="40"/>
      <c r="F6" s="40"/>
      <c r="G6" s="40" t="s">
        <v>46</v>
      </c>
      <c r="H6" s="40"/>
      <c r="I6" s="40" t="s">
        <v>47</v>
      </c>
      <c r="J6" s="40"/>
      <c r="K6" s="40"/>
    </row>
    <row r="7" spans="1:14" ht="24" customHeight="1">
      <c r="A7" s="29"/>
      <c r="B7" s="29"/>
      <c r="C7" s="29"/>
      <c r="D7" s="34"/>
      <c r="E7" s="34"/>
      <c r="F7" s="34"/>
      <c r="G7" s="35">
        <f>COUNTA(B11:B20)</f>
        <v>4</v>
      </c>
      <c r="H7" s="35"/>
      <c r="I7" s="36">
        <f>SUM(I11:I20)</f>
        <v>55792578</v>
      </c>
      <c r="J7" s="36"/>
      <c r="K7" s="36"/>
    </row>
    <row r="9" spans="1:14" ht="24" customHeight="1">
      <c r="A9" s="26" t="s">
        <v>48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31.5" customHeight="1">
      <c r="A10" s="11" t="s">
        <v>49</v>
      </c>
      <c r="B10" s="11" t="s">
        <v>50</v>
      </c>
      <c r="C10" s="11" t="s">
        <v>51</v>
      </c>
      <c r="D10" s="11" t="s">
        <v>52</v>
      </c>
      <c r="E10" s="11" t="s">
        <v>53</v>
      </c>
      <c r="F10" s="11" t="s">
        <v>54</v>
      </c>
      <c r="G10" s="11" t="s">
        <v>55</v>
      </c>
      <c r="H10" s="11" t="s">
        <v>56</v>
      </c>
      <c r="I10" s="11" t="s">
        <v>57</v>
      </c>
      <c r="J10" s="11" t="s">
        <v>58</v>
      </c>
      <c r="K10" s="11" t="s">
        <v>59</v>
      </c>
      <c r="L10" s="11" t="s">
        <v>60</v>
      </c>
      <c r="M10" s="11" t="s">
        <v>61</v>
      </c>
      <c r="N10" s="11" t="s">
        <v>62</v>
      </c>
    </row>
    <row r="11" spans="1:14" ht="73.5" customHeight="1">
      <c r="A11" s="12">
        <v>1</v>
      </c>
      <c r="B11" s="2" t="s">
        <v>158</v>
      </c>
      <c r="C11" s="13" t="s">
        <v>64</v>
      </c>
      <c r="D11" s="2" t="s">
        <v>159</v>
      </c>
      <c r="E11" s="14">
        <v>440000</v>
      </c>
      <c r="F11" s="14">
        <v>440000</v>
      </c>
      <c r="G11" s="14">
        <v>440000</v>
      </c>
      <c r="H11" s="15">
        <f>IFERROR(IF(OR(E11="",F11="",G11=""),0,ROUND((E11+4*F11+G11)/6,0)),0)</f>
        <v>440000</v>
      </c>
      <c r="I11" s="10">
        <f>H11*6</f>
        <v>2640000</v>
      </c>
      <c r="J11" s="14"/>
      <c r="K11" s="1" t="str">
        <f>IFERROR(IF(AND(H11&gt;0,J11&gt;0),ROUND(J11/H11,1),"-"),"-")</f>
        <v>-</v>
      </c>
      <c r="L11" s="16" t="str">
        <f>IFERROR(IF(J11&gt;0,(I11-J11)/J11,""),"")</f>
        <v/>
      </c>
      <c r="M11" s="13" t="s">
        <v>99</v>
      </c>
      <c r="N11" s="2" t="s">
        <v>160</v>
      </c>
    </row>
    <row r="12" spans="1:14" ht="86.25" customHeight="1">
      <c r="A12" s="12">
        <v>2</v>
      </c>
      <c r="B12" s="2" t="s">
        <v>161</v>
      </c>
      <c r="C12" s="13" t="s">
        <v>64</v>
      </c>
      <c r="D12" s="2" t="s">
        <v>95</v>
      </c>
      <c r="E12" s="14">
        <v>2715430</v>
      </c>
      <c r="F12" s="14">
        <v>2715430</v>
      </c>
      <c r="G12" s="14">
        <v>2715430</v>
      </c>
      <c r="H12" s="15">
        <f>IFERROR(IF(OR(E12="",F12="",G12=""),0,ROUND((E12+4*F12+G12)/6,0)),0)</f>
        <v>2715430</v>
      </c>
      <c r="I12" s="10">
        <f>H12*6</f>
        <v>16292580</v>
      </c>
      <c r="J12" s="14"/>
      <c r="K12" s="1" t="str">
        <f>IFERROR(IF(AND(H12&gt;0,J12&gt;0),ROUND(J12/H12,1),"-"),"-")</f>
        <v>-</v>
      </c>
      <c r="L12" s="16" t="str">
        <f>IFERROR(IF(J12&gt;0,(I12-J12)/J12,""),"")</f>
        <v/>
      </c>
      <c r="M12" s="13" t="s">
        <v>99</v>
      </c>
      <c r="N12" s="2" t="s">
        <v>162</v>
      </c>
    </row>
    <row r="13" spans="1:14" ht="213" customHeight="1">
      <c r="A13" s="12">
        <v>3</v>
      </c>
      <c r="B13" s="2" t="s">
        <v>163</v>
      </c>
      <c r="C13" s="13" t="s">
        <v>64</v>
      </c>
      <c r="D13" s="2"/>
      <c r="E13" s="14">
        <v>2783333</v>
      </c>
      <c r="F13" s="14">
        <v>2783333</v>
      </c>
      <c r="G13" s="14">
        <v>2783333</v>
      </c>
      <c r="H13" s="15">
        <f>IFERROR(IF(OR(E13="",F13="",G13=""),0,ROUND((E13+4*F13+G13)/6,0)),0)</f>
        <v>2783333</v>
      </c>
      <c r="I13" s="10">
        <f>H13*6</f>
        <v>16699998</v>
      </c>
      <c r="J13" s="14"/>
      <c r="K13" s="1" t="str">
        <f>IFERROR(IF(AND(H13&gt;0,J13&gt;0),ROUND(J13/H13,1),"-"),"-")</f>
        <v>-</v>
      </c>
      <c r="L13" s="16" t="str">
        <f>IFERROR(IF(J13&gt;0,(I13-J13)/J13,""),"")</f>
        <v/>
      </c>
      <c r="M13" s="13" t="s">
        <v>99</v>
      </c>
      <c r="N13" s="2" t="s">
        <v>164</v>
      </c>
    </row>
    <row r="14" spans="1:14" ht="77.25" customHeight="1">
      <c r="A14" s="12">
        <v>9</v>
      </c>
      <c r="B14" s="2" t="s">
        <v>165</v>
      </c>
      <c r="C14" s="13" t="s">
        <v>123</v>
      </c>
      <c r="D14" s="2" t="s">
        <v>128</v>
      </c>
      <c r="E14" s="14">
        <v>3360000</v>
      </c>
      <c r="F14" s="14">
        <v>3360000</v>
      </c>
      <c r="G14" s="14">
        <v>3360000</v>
      </c>
      <c r="H14" s="15">
        <f>IFERROR(IF(OR(E14="",F14="",G14=""),0,ROUND((E14+4*F14+G14)/6,0)),0)</f>
        <v>3360000</v>
      </c>
      <c r="I14" s="10">
        <f>H14*6</f>
        <v>20160000</v>
      </c>
      <c r="J14" s="14"/>
      <c r="K14" s="1" t="str">
        <f>IFERROR(IF(AND(H14&gt;0,J14&gt;0),ROUND(J14/H14,1),"-"),"-")</f>
        <v>-</v>
      </c>
      <c r="L14" s="16" t="str">
        <f>IFERROR(IF(J14&gt;0,(I14-J14)/J14,""),"")</f>
        <v/>
      </c>
      <c r="M14" s="13"/>
      <c r="N14" s="2" t="s">
        <v>166</v>
      </c>
    </row>
    <row r="15" spans="1:14" ht="36" customHeight="1">
      <c r="A15" s="12">
        <v>10</v>
      </c>
      <c r="B15" s="2"/>
      <c r="C15" s="13"/>
      <c r="D15" s="2"/>
      <c r="E15" s="14"/>
      <c r="F15" s="14"/>
      <c r="G15" s="14"/>
      <c r="H15" s="15">
        <f>IFERROR(IF(OR(E15="",F15="",G15=""),0,ROUND((E15+4*F15+G15)/6,0)),0)</f>
        <v>0</v>
      </c>
      <c r="I15" s="10">
        <f>H15*12</f>
        <v>0</v>
      </c>
      <c r="J15" s="14"/>
      <c r="K15" s="1" t="str">
        <f>IFERROR(IF(AND(H15&gt;0,J15&gt;0),ROUND(J15/H15,1),"-"),"-")</f>
        <v>-</v>
      </c>
      <c r="L15" s="16" t="str">
        <f>IFERROR(IF(J15&gt;0,(I15-J15)/J15,""),"")</f>
        <v/>
      </c>
      <c r="M15" s="13"/>
      <c r="N15" s="2"/>
    </row>
    <row r="16" spans="1:14" ht="36" customHeight="1">
      <c r="A16" s="12">
        <v>11</v>
      </c>
      <c r="B16" s="2"/>
      <c r="C16" s="13"/>
      <c r="D16" s="2"/>
      <c r="E16" s="14"/>
      <c r="F16" s="14"/>
      <c r="G16" s="14"/>
      <c r="H16" s="15">
        <f>IFERROR(IF(OR(E16="",F16="",G16=""),0,ROUND((E16+4*F16+G16)/6,0)),0)</f>
        <v>0</v>
      </c>
      <c r="I16" s="10">
        <f>H16*12</f>
        <v>0</v>
      </c>
      <c r="J16" s="14"/>
      <c r="K16" s="1" t="str">
        <f>IFERROR(IF(AND(H16&gt;0,J16&gt;0),ROUND(J16/H16,1),"-"),"-")</f>
        <v>-</v>
      </c>
      <c r="L16" s="16" t="str">
        <f>IFERROR(IF(J16&gt;0,(I16-J16)/J16,""),"")</f>
        <v/>
      </c>
      <c r="M16" s="13"/>
      <c r="N16" s="2"/>
    </row>
    <row r="17" spans="1:14" ht="36" customHeight="1">
      <c r="A17" s="12">
        <v>12</v>
      </c>
      <c r="B17" s="2"/>
      <c r="C17" s="13"/>
      <c r="D17" s="2"/>
      <c r="E17" s="14"/>
      <c r="F17" s="14"/>
      <c r="G17" s="14"/>
      <c r="H17" s="15">
        <f>IFERROR(IF(OR(E17="",F17="",G17=""),0,ROUND((E17+4*F17+G17)/6,0)),0)</f>
        <v>0</v>
      </c>
      <c r="I17" s="10">
        <f>H17*12</f>
        <v>0</v>
      </c>
      <c r="J17" s="14"/>
      <c r="K17" s="1" t="str">
        <f>IFERROR(IF(AND(H17&gt;0,J17&gt;0),ROUND(J17/H17,1),"-"),"-")</f>
        <v>-</v>
      </c>
      <c r="L17" s="16" t="str">
        <f>IFERROR(IF(J17&gt;0,(I17-J17)/J17,""),"")</f>
        <v/>
      </c>
      <c r="M17" s="13"/>
      <c r="N17" s="2"/>
    </row>
    <row r="18" spans="1:14" ht="36" customHeight="1">
      <c r="A18" s="12">
        <v>13</v>
      </c>
      <c r="B18" s="2"/>
      <c r="C18" s="13"/>
      <c r="D18" s="2"/>
      <c r="E18" s="14"/>
      <c r="F18" s="14"/>
      <c r="G18" s="14"/>
      <c r="H18" s="15">
        <f>IFERROR(IF(OR(E18="",F18="",G18=""),0,ROUND((E18+4*F18+G18)/6,0)),0)</f>
        <v>0</v>
      </c>
      <c r="I18" s="10">
        <f>H18*12</f>
        <v>0</v>
      </c>
      <c r="J18" s="14"/>
      <c r="K18" s="1" t="str">
        <f>IFERROR(IF(AND(H18&gt;0,J18&gt;0),ROUND(J18/H18,1),"-"),"-")</f>
        <v>-</v>
      </c>
      <c r="L18" s="16" t="str">
        <f>IFERROR(IF(J18&gt;0,(I18-J18)/J18,""),"")</f>
        <v/>
      </c>
      <c r="M18" s="13"/>
      <c r="N18" s="2"/>
    </row>
    <row r="19" spans="1:14" ht="36" customHeight="1">
      <c r="A19" s="12">
        <v>14</v>
      </c>
      <c r="B19" s="2"/>
      <c r="C19" s="13"/>
      <c r="D19" s="2"/>
      <c r="E19" s="14"/>
      <c r="F19" s="14"/>
      <c r="G19" s="14"/>
      <c r="H19" s="15">
        <f>IFERROR(IF(OR(E19="",F19="",G19=""),0,ROUND((E19+4*F19+G19)/6,0)),0)</f>
        <v>0</v>
      </c>
      <c r="I19" s="10">
        <f>H19*12</f>
        <v>0</v>
      </c>
      <c r="J19" s="14"/>
      <c r="K19" s="1" t="str">
        <f>IFERROR(IF(AND(H19&gt;0,J19&gt;0),ROUND(J19/H19,1),"-"),"-")</f>
        <v>-</v>
      </c>
      <c r="L19" s="16" t="str">
        <f>IFERROR(IF(J19&gt;0,(I19-J19)/J19,""),"")</f>
        <v/>
      </c>
      <c r="M19" s="13"/>
      <c r="N19" s="2"/>
    </row>
    <row r="20" spans="1:14" ht="36" customHeight="1">
      <c r="A20" s="12">
        <v>15</v>
      </c>
      <c r="B20" s="2"/>
      <c r="C20" s="13"/>
      <c r="D20" s="2"/>
      <c r="E20" s="14"/>
      <c r="F20" s="14"/>
      <c r="G20" s="14"/>
      <c r="H20" s="15">
        <f>IFERROR(IF(OR(E20="",F20="",G20=""),0,ROUND((E20+4*F20+G20)/6,0)),0)</f>
        <v>0</v>
      </c>
      <c r="I20" s="10">
        <f>H20*12</f>
        <v>0</v>
      </c>
      <c r="J20" s="14"/>
      <c r="K20" s="1" t="str">
        <f>IFERROR(IF(AND(H20&gt;0,J20&gt;0),ROUND(J20/H20,1),"-"),"-")</f>
        <v>-</v>
      </c>
      <c r="L20" s="16" t="str">
        <f>IFERROR(IF(J20&gt;0,(I20-J20)/J20,""),"")</f>
        <v/>
      </c>
      <c r="M20" s="13"/>
      <c r="N20" s="2"/>
    </row>
    <row r="21" spans="1:14" ht="27.75" customHeight="1">
      <c r="A21" s="33" t="s">
        <v>73</v>
      </c>
      <c r="B21" s="33"/>
      <c r="C21" s="33"/>
      <c r="D21" s="33"/>
      <c r="E21" s="18">
        <f>SUM(E11:E20)</f>
        <v>9298763</v>
      </c>
      <c r="F21" s="18">
        <f>SUM(F11:F20)</f>
        <v>9298763</v>
      </c>
      <c r="G21" s="18">
        <f>SUM(G11:G20)</f>
        <v>9298763</v>
      </c>
      <c r="H21" s="18">
        <f>SUM(H11:H20)</f>
        <v>9298763</v>
      </c>
      <c r="I21" s="18">
        <f>SUM(I11:I20)</f>
        <v>55792578</v>
      </c>
      <c r="J21" s="18">
        <f>SUM(J11:J20)</f>
        <v>0</v>
      </c>
      <c r="K21" s="19"/>
      <c r="L21" s="19"/>
      <c r="M21" s="19"/>
      <c r="N21" s="19"/>
    </row>
    <row r="23" spans="1:14" ht="21.75" customHeight="1">
      <c r="A23" s="26" t="s">
        <v>74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4" ht="21.75" customHeight="1">
      <c r="A24" s="11" t="s">
        <v>49</v>
      </c>
      <c r="B24" s="31" t="s">
        <v>75</v>
      </c>
      <c r="C24" s="31"/>
      <c r="D24" s="31"/>
      <c r="E24" s="31"/>
      <c r="F24" s="31"/>
      <c r="G24" s="31"/>
      <c r="H24" s="31" t="s">
        <v>76</v>
      </c>
      <c r="I24" s="31"/>
      <c r="J24" s="31"/>
      <c r="K24" s="31" t="s">
        <v>77</v>
      </c>
      <c r="L24" s="31"/>
      <c r="M24" s="31" t="s">
        <v>61</v>
      </c>
      <c r="N24" s="31"/>
    </row>
    <row r="25" spans="1:14" ht="24" customHeight="1">
      <c r="A25" s="12">
        <v>1</v>
      </c>
      <c r="B25" s="29"/>
      <c r="C25" s="29"/>
      <c r="D25" s="29"/>
      <c r="E25" s="29"/>
      <c r="F25" s="29"/>
      <c r="G25" s="29"/>
      <c r="H25" s="29"/>
      <c r="I25" s="29"/>
      <c r="J25" s="29"/>
      <c r="K25" s="32"/>
      <c r="L25" s="32"/>
      <c r="M25" s="30"/>
      <c r="N25" s="30"/>
    </row>
    <row r="26" spans="1:14" ht="24" customHeight="1">
      <c r="A26" s="12">
        <v>2</v>
      </c>
      <c r="B26" s="29"/>
      <c r="C26" s="29"/>
      <c r="D26" s="29"/>
      <c r="E26" s="29"/>
      <c r="F26" s="29"/>
      <c r="G26" s="29"/>
      <c r="H26" s="29"/>
      <c r="I26" s="29"/>
      <c r="J26" s="29"/>
      <c r="K26" s="32"/>
      <c r="L26" s="32"/>
      <c r="M26" s="30"/>
      <c r="N26" s="30"/>
    </row>
    <row r="27" spans="1:14" ht="24" customHeight="1">
      <c r="A27" s="12">
        <v>3</v>
      </c>
      <c r="B27" s="29"/>
      <c r="C27" s="29"/>
      <c r="D27" s="29"/>
      <c r="E27" s="29"/>
      <c r="F27" s="29"/>
      <c r="G27" s="29"/>
      <c r="H27" s="29"/>
      <c r="I27" s="29"/>
      <c r="J27" s="29"/>
      <c r="K27" s="32"/>
      <c r="L27" s="32"/>
      <c r="M27" s="30"/>
      <c r="N27" s="30"/>
    </row>
    <row r="28" spans="1:14" ht="24" customHeight="1">
      <c r="A28" s="12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32"/>
      <c r="L28" s="32"/>
      <c r="M28" s="30"/>
      <c r="N28" s="30"/>
    </row>
    <row r="29" spans="1:14" ht="24" customHeight="1">
      <c r="A29" s="12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32"/>
      <c r="L29" s="32"/>
      <c r="M29" s="30"/>
      <c r="N29" s="30"/>
    </row>
    <row r="30" spans="1:14" ht="24" customHeight="1">
      <c r="A30" s="12">
        <v>6</v>
      </c>
      <c r="B30" s="29"/>
      <c r="C30" s="29"/>
      <c r="D30" s="29"/>
      <c r="E30" s="29"/>
      <c r="F30" s="29"/>
      <c r="G30" s="29"/>
      <c r="H30" s="29"/>
      <c r="I30" s="29"/>
      <c r="J30" s="29"/>
      <c r="K30" s="32"/>
      <c r="L30" s="32"/>
      <c r="M30" s="30"/>
      <c r="N30" s="30"/>
    </row>
    <row r="32" spans="1:14" ht="21.75" customHeight="1">
      <c r="A32" s="26" t="s">
        <v>78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pans="1:14" ht="21.75" customHeight="1">
      <c r="A33" s="31" t="s">
        <v>79</v>
      </c>
      <c r="B33" s="31"/>
      <c r="C33" s="31"/>
      <c r="D33" s="31"/>
      <c r="E33" s="31"/>
      <c r="F33" s="31" t="s">
        <v>80</v>
      </c>
      <c r="G33" s="31"/>
      <c r="H33" s="31"/>
      <c r="I33" s="31" t="s">
        <v>81</v>
      </c>
      <c r="J33" s="31"/>
      <c r="K33" s="31"/>
      <c r="L33" s="31" t="s">
        <v>82</v>
      </c>
      <c r="M33" s="31"/>
      <c r="N33" s="31"/>
    </row>
    <row r="34" spans="1:14" ht="21.75" customHeight="1">
      <c r="A34" s="29" t="s">
        <v>83</v>
      </c>
      <c r="B34" s="29"/>
      <c r="C34" s="29"/>
      <c r="D34" s="29"/>
      <c r="E34" s="29"/>
      <c r="F34" s="30"/>
      <c r="G34" s="30"/>
      <c r="H34" s="30"/>
      <c r="I34" s="30"/>
      <c r="J34" s="30"/>
      <c r="K34" s="30"/>
      <c r="L34" s="30" t="s">
        <v>84</v>
      </c>
      <c r="M34" s="30"/>
      <c r="N34" s="30"/>
    </row>
    <row r="35" spans="1:14" ht="21.75" customHeight="1">
      <c r="A35" s="29" t="s">
        <v>85</v>
      </c>
      <c r="B35" s="29"/>
      <c r="C35" s="29"/>
      <c r="D35" s="29"/>
      <c r="E35" s="29"/>
      <c r="F35" s="30"/>
      <c r="G35" s="30"/>
      <c r="H35" s="30"/>
      <c r="I35" s="30"/>
      <c r="J35" s="30"/>
      <c r="K35" s="30"/>
      <c r="L35" s="30" t="s">
        <v>84</v>
      </c>
      <c r="M35" s="30"/>
      <c r="N35" s="30"/>
    </row>
    <row r="36" spans="1:14" ht="21.75" customHeight="1">
      <c r="A36" s="29" t="s">
        <v>86</v>
      </c>
      <c r="B36" s="29"/>
      <c r="C36" s="29"/>
      <c r="D36" s="29"/>
      <c r="E36" s="29"/>
      <c r="F36" s="30"/>
      <c r="G36" s="30"/>
      <c r="H36" s="30"/>
      <c r="I36" s="30"/>
      <c r="J36" s="30"/>
      <c r="K36" s="30"/>
      <c r="L36" s="30" t="s">
        <v>84</v>
      </c>
      <c r="M36" s="30"/>
      <c r="N36" s="30"/>
    </row>
    <row r="37" spans="1:14" ht="21.75" customHeight="1">
      <c r="A37" s="29" t="s">
        <v>87</v>
      </c>
      <c r="B37" s="29"/>
      <c r="C37" s="29"/>
      <c r="D37" s="29"/>
      <c r="E37" s="29"/>
      <c r="F37" s="30"/>
      <c r="G37" s="30"/>
      <c r="H37" s="30"/>
      <c r="I37" s="30"/>
      <c r="J37" s="30"/>
      <c r="K37" s="30"/>
      <c r="L37" s="30" t="s">
        <v>84</v>
      </c>
      <c r="M37" s="30"/>
      <c r="N37" s="30"/>
    </row>
    <row r="38" spans="1:14" ht="21.75" customHeight="1">
      <c r="A38" s="29" t="s">
        <v>88</v>
      </c>
      <c r="B38" s="29"/>
      <c r="C38" s="29"/>
      <c r="D38" s="29"/>
      <c r="E38" s="29"/>
      <c r="F38" s="30"/>
      <c r="G38" s="30"/>
      <c r="H38" s="30"/>
      <c r="I38" s="30"/>
      <c r="J38" s="30"/>
      <c r="K38" s="30"/>
      <c r="L38" s="30" t="s">
        <v>84</v>
      </c>
      <c r="M38" s="30"/>
      <c r="N38" s="30"/>
    </row>
    <row r="39" spans="1:14" ht="21.75" customHeight="1">
      <c r="A39" s="29"/>
      <c r="B39" s="29"/>
      <c r="C39" s="29"/>
      <c r="D39" s="29"/>
      <c r="E39" s="29"/>
      <c r="F39" s="30"/>
      <c r="G39" s="30"/>
      <c r="H39" s="30"/>
      <c r="I39" s="30"/>
      <c r="J39" s="30"/>
      <c r="K39" s="30"/>
      <c r="L39" s="30"/>
      <c r="M39" s="30"/>
      <c r="N39" s="30"/>
    </row>
    <row r="40" spans="1:14" ht="21.75" customHeight="1">
      <c r="A40" s="29"/>
      <c r="B40" s="29"/>
      <c r="C40" s="29"/>
      <c r="D40" s="29"/>
      <c r="E40" s="29"/>
      <c r="F40" s="30"/>
      <c r="G40" s="30"/>
      <c r="H40" s="30"/>
      <c r="I40" s="30"/>
      <c r="J40" s="30"/>
      <c r="K40" s="30"/>
      <c r="L40" s="30"/>
      <c r="M40" s="30"/>
      <c r="N40" s="30"/>
    </row>
    <row r="41" spans="1:14" ht="21.75" customHeight="1">
      <c r="A41" s="29"/>
      <c r="B41" s="29"/>
      <c r="C41" s="29"/>
      <c r="D41" s="29"/>
      <c r="E41" s="29"/>
      <c r="F41" s="30"/>
      <c r="G41" s="30"/>
      <c r="H41" s="30"/>
      <c r="I41" s="30"/>
      <c r="J41" s="30"/>
      <c r="K41" s="30"/>
      <c r="L41" s="30"/>
      <c r="M41" s="30"/>
      <c r="N41" s="30"/>
    </row>
    <row r="43" spans="1:14" ht="21.75" customHeight="1">
      <c r="A43" s="26" t="s">
        <v>89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ht="36" customHeight="1">
      <c r="A44" s="27" t="s">
        <v>167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6" spans="1:14" ht="39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</row>
    <row r="47" spans="1:14" ht="15" customHeight="1">
      <c r="A47" s="28" t="s">
        <v>91</v>
      </c>
      <c r="B47" s="28"/>
      <c r="C47" s="28"/>
      <c r="D47" s="28"/>
      <c r="E47" s="28"/>
      <c r="F47" s="28"/>
      <c r="G47" s="28"/>
      <c r="H47" s="28" t="s">
        <v>92</v>
      </c>
      <c r="I47" s="28"/>
      <c r="J47" s="28"/>
      <c r="K47" s="28"/>
      <c r="L47" s="28"/>
      <c r="M47" s="28"/>
      <c r="N47" s="28"/>
    </row>
    <row r="49" spans="1:14" ht="21.75" customHeight="1">
      <c r="A49" s="25" t="s">
        <v>39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</sheetData>
  <mergeCells count="87">
    <mergeCell ref="A1:N1"/>
    <mergeCell ref="A2:N2"/>
    <mergeCell ref="A3:N3"/>
    <mergeCell ref="A5:N5"/>
    <mergeCell ref="A6:C6"/>
    <mergeCell ref="D6:F6"/>
    <mergeCell ref="G6:H6"/>
    <mergeCell ref="I6:K6"/>
    <mergeCell ref="A7:C7"/>
    <mergeCell ref="D7:F7"/>
    <mergeCell ref="G7:H7"/>
    <mergeCell ref="I7:K7"/>
    <mergeCell ref="A9:N9"/>
    <mergeCell ref="A21:D21"/>
    <mergeCell ref="A23:N23"/>
    <mergeCell ref="B24:G24"/>
    <mergeCell ref="H24:J24"/>
    <mergeCell ref="K24:L24"/>
    <mergeCell ref="M24:N24"/>
    <mergeCell ref="B25:G25"/>
    <mergeCell ref="H25:J25"/>
    <mergeCell ref="K25:L25"/>
    <mergeCell ref="M25:N25"/>
    <mergeCell ref="B26:G26"/>
    <mergeCell ref="H26:J26"/>
    <mergeCell ref="K26:L26"/>
    <mergeCell ref="M26:N26"/>
    <mergeCell ref="B27:G27"/>
    <mergeCell ref="H27:J27"/>
    <mergeCell ref="K27:L27"/>
    <mergeCell ref="M27:N27"/>
    <mergeCell ref="B28:G28"/>
    <mergeCell ref="H28:J28"/>
    <mergeCell ref="K28:L28"/>
    <mergeCell ref="M28:N28"/>
    <mergeCell ref="B29:G29"/>
    <mergeCell ref="H29:J29"/>
    <mergeCell ref="K29:L29"/>
    <mergeCell ref="M29:N29"/>
    <mergeCell ref="B30:G30"/>
    <mergeCell ref="H30:J30"/>
    <mergeCell ref="K30:L30"/>
    <mergeCell ref="M30:N30"/>
    <mergeCell ref="A32:N32"/>
    <mergeCell ref="A33:E33"/>
    <mergeCell ref="F33:H33"/>
    <mergeCell ref="I33:K33"/>
    <mergeCell ref="L33:N33"/>
    <mergeCell ref="A34:E34"/>
    <mergeCell ref="F34:H34"/>
    <mergeCell ref="I34:K34"/>
    <mergeCell ref="L34:N34"/>
    <mergeCell ref="A35:E35"/>
    <mergeCell ref="F35:H35"/>
    <mergeCell ref="I35:K35"/>
    <mergeCell ref="L35:N35"/>
    <mergeCell ref="A36:E36"/>
    <mergeCell ref="F36:H36"/>
    <mergeCell ref="I36:K36"/>
    <mergeCell ref="L36:N36"/>
    <mergeCell ref="A37:E37"/>
    <mergeCell ref="F37:H37"/>
    <mergeCell ref="I37:K37"/>
    <mergeCell ref="L37:N37"/>
    <mergeCell ref="A38:E38"/>
    <mergeCell ref="F38:H38"/>
    <mergeCell ref="I38:K38"/>
    <mergeCell ref="L38:N38"/>
    <mergeCell ref="A39:E39"/>
    <mergeCell ref="F39:H39"/>
    <mergeCell ref="I39:K39"/>
    <mergeCell ref="L39:N39"/>
    <mergeCell ref="A40:E40"/>
    <mergeCell ref="F40:H40"/>
    <mergeCell ref="I40:K40"/>
    <mergeCell ref="L40:N40"/>
    <mergeCell ref="A41:E41"/>
    <mergeCell ref="F41:H41"/>
    <mergeCell ref="I41:K41"/>
    <mergeCell ref="L41:N41"/>
    <mergeCell ref="A49:N49"/>
    <mergeCell ref="A43:N43"/>
    <mergeCell ref="A44:N44"/>
    <mergeCell ref="A46:G46"/>
    <mergeCell ref="H46:N46"/>
    <mergeCell ref="A47:G47"/>
    <mergeCell ref="H47:N47"/>
  </mergeCells>
  <dataValidations count="5">
    <dataValidation type="list" allowBlank="1" sqref="M25:M30" xr:uid="{00000000-0002-0000-0700-000003000000}">
      <formula1>"Pendiente,En curso,Completado"</formula1>
      <formula2>0</formula2>
    </dataValidation>
    <dataValidation type="list" allowBlank="1" sqref="L34:L41" xr:uid="{00000000-0002-0000-0700-000004000000}">
      <formula1>"Semanal,Quincenal,Mensual"</formula1>
      <formula2>0</formula2>
    </dataValidation>
    <dataValidation type="list" allowBlank="1" sqref="C11:C20" xr:uid="{00000000-0002-0000-0700-000000000000}">
      <formula1>"AHORRO,INGRESO,MIXTA"</formula1>
      <formula2>0</formula2>
    </dataValidation>
    <dataValidation type="list" allowBlank="1" sqref="D11:D20" xr:uid="{00000000-0002-0000-0700-000001000000}">
      <formula1>"Renegociación proveedor,Cambio proveedor,Digitalización,Optimización proceso,Reducción consumo,Tecnología,Nueva fuente ingreso,B2B / Corporativo,Monetización activos,Servicios afiliados,Cumplimiento normativo,Otro"</formula1>
      <formula2>0</formula2>
    </dataValidation>
    <dataValidation type="list" allowBlank="1" sqref="M11:M20" xr:uid="{00000000-0002-0000-0700-000002000000}">
      <formula1>"Propuesta,Análisis,En análisis,Cotización,Negociación,Diseño,Piloto,En curso,Gestión,Por desarrollar,Materializado,Confirmado,Aprobado,Cancelado"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4" customWidth="1"/>
    <col min="2" max="2" width="28" customWidth="1"/>
    <col min="3" max="3" width="22" customWidth="1"/>
    <col min="4" max="4" width="14" customWidth="1"/>
    <col min="5" max="5" width="23.28515625" customWidth="1"/>
    <col min="6" max="6" width="28.28515625" customWidth="1"/>
    <col min="7" max="7" width="16" customWidth="1"/>
    <col min="8" max="8" width="14" customWidth="1"/>
  </cols>
  <sheetData>
    <row r="1" spans="1:8" ht="31.5" customHeight="1">
      <c r="A1" s="38" t="s">
        <v>168</v>
      </c>
      <c r="B1" s="38"/>
      <c r="C1" s="38"/>
      <c r="D1" s="38"/>
      <c r="E1" s="38"/>
      <c r="F1" s="38"/>
      <c r="G1" s="38"/>
      <c r="H1" s="38"/>
    </row>
    <row r="2" spans="1:8" ht="18" customHeight="1">
      <c r="A2" s="39" t="s">
        <v>169</v>
      </c>
      <c r="B2" s="39"/>
      <c r="C2" s="39"/>
      <c r="D2" s="39"/>
      <c r="E2" s="39"/>
      <c r="F2" s="39"/>
      <c r="G2" s="39"/>
      <c r="H2" s="39"/>
    </row>
    <row r="4" spans="1:8" ht="31.5" customHeight="1">
      <c r="A4" s="17" t="s">
        <v>49</v>
      </c>
      <c r="B4" s="17" t="s">
        <v>170</v>
      </c>
      <c r="C4" s="17" t="s">
        <v>171</v>
      </c>
      <c r="D4" s="17" t="s">
        <v>172</v>
      </c>
      <c r="E4" s="17" t="s">
        <v>173</v>
      </c>
      <c r="F4" s="17" t="s">
        <v>174</v>
      </c>
      <c r="G4" s="17" t="s">
        <v>175</v>
      </c>
      <c r="H4" s="17" t="s">
        <v>176</v>
      </c>
    </row>
    <row r="5" spans="1:8" ht="25.5" customHeight="1">
      <c r="A5" s="12">
        <v>1</v>
      </c>
      <c r="B5" s="20" t="s">
        <v>28</v>
      </c>
      <c r="C5" s="21">
        <f>Tesorería!A7</f>
        <v>0</v>
      </c>
      <c r="D5" s="1">
        <f>COUNTA(Tesorería!B11:B25)</f>
        <v>4</v>
      </c>
      <c r="E5" s="10">
        <f>SUM(Tesorería!H11:H25)</f>
        <v>5482000</v>
      </c>
      <c r="F5" s="10">
        <f>SUM(Tesorería!I11:I25)</f>
        <v>38374000</v>
      </c>
      <c r="G5" s="15">
        <f>SUM(Tesorería!J11:J25)</f>
        <v>0</v>
      </c>
      <c r="H5" s="1" t="str">
        <f>COUNTA(Tesorería!M11:M25)&amp;" registros"</f>
        <v>4 registros</v>
      </c>
    </row>
    <row r="6" spans="1:8" ht="25.5" customHeight="1">
      <c r="A6" s="12">
        <v>2</v>
      </c>
      <c r="B6" s="20" t="s">
        <v>30</v>
      </c>
      <c r="C6" s="21">
        <f>Contabilidad!A7</f>
        <v>0</v>
      </c>
      <c r="D6" s="1">
        <f>COUNTA(Contabilidad!B11:B25)</f>
        <v>7</v>
      </c>
      <c r="E6" s="10">
        <f>SUM(Contabilidad!H11:H25)</f>
        <v>6306533</v>
      </c>
      <c r="F6" s="10">
        <f>SUM(Contabilidad!I11:I25)</f>
        <v>75678396</v>
      </c>
      <c r="G6" s="15">
        <f>SUM(Contabilidad!J11:J25)</f>
        <v>0</v>
      </c>
      <c r="H6" s="1" t="str">
        <f>COUNTA(Contabilidad!M11:M25)&amp;" registros"</f>
        <v>7 registros</v>
      </c>
    </row>
    <row r="7" spans="1:8" ht="25.5" customHeight="1">
      <c r="A7" s="12">
        <v>3</v>
      </c>
      <c r="B7" s="20" t="s">
        <v>32</v>
      </c>
      <c r="C7" s="21">
        <f>'Mantenimiento y Compras'!A7</f>
        <v>0</v>
      </c>
      <c r="D7" s="1">
        <f>COUNTA('Mantenimiento y Compras'!B11:B25)</f>
        <v>9</v>
      </c>
      <c r="E7" s="10">
        <f>SUM('Mantenimiento y Compras'!H11:H25)</f>
        <v>10177243</v>
      </c>
      <c r="F7" s="10">
        <f>SUM('Mantenimiento y Compras'!I11:I25)</f>
        <v>74093466</v>
      </c>
      <c r="G7" s="15">
        <f>SUM('Mantenimiento y Compras'!J11:J25)</f>
        <v>0</v>
      </c>
      <c r="H7" s="1" t="str">
        <f>COUNTA('Mantenimiento y Compras'!M11:M25)&amp;" registros"</f>
        <v>9 registros</v>
      </c>
    </row>
    <row r="8" spans="1:8" ht="25.5" customHeight="1">
      <c r="A8" s="12">
        <v>4</v>
      </c>
      <c r="B8" s="20" t="s">
        <v>33</v>
      </c>
      <c r="C8" s="21">
        <f>Operaciones!A7</f>
        <v>0</v>
      </c>
      <c r="D8" s="1">
        <f>COUNTA(Operaciones!B11:B25)</f>
        <v>5</v>
      </c>
      <c r="E8" s="10">
        <f>SUM(Operaciones!H11:H25)</f>
        <v>25101500</v>
      </c>
      <c r="F8" s="10">
        <f>SUM(Operaciones!I11:I25)</f>
        <v>301218000</v>
      </c>
      <c r="G8" s="15">
        <f>SUM(Operaciones!J11:J25)</f>
        <v>0</v>
      </c>
      <c r="H8" s="1" t="str">
        <f>COUNTA(Operaciones!M11:M25)&amp;" registros"</f>
        <v>5 registros</v>
      </c>
    </row>
    <row r="9" spans="1:8" ht="25.5" customHeight="1">
      <c r="A9" s="12">
        <v>5</v>
      </c>
      <c r="B9" s="20" t="s">
        <v>35</v>
      </c>
      <c r="C9" s="21">
        <f>Comercial!A7</f>
        <v>0</v>
      </c>
      <c r="D9" s="1">
        <f>COUNTA(Comercial!B11:B25)</f>
        <v>5</v>
      </c>
      <c r="E9" s="10">
        <f>SUM(Comercial!H11:H25)</f>
        <v>0</v>
      </c>
      <c r="F9" s="10">
        <f>SUM(Comercial!I11:I25)</f>
        <v>0</v>
      </c>
      <c r="G9" s="15">
        <f>SUM(Comercial!J11:J25)</f>
        <v>0</v>
      </c>
      <c r="H9" s="1" t="str">
        <f>COUNTA(Comercial!M11:M25)&amp;" registros"</f>
        <v>5 registros</v>
      </c>
    </row>
    <row r="10" spans="1:8" ht="25.5" customHeight="1">
      <c r="A10" s="12">
        <v>6</v>
      </c>
      <c r="B10" s="20" t="s">
        <v>36</v>
      </c>
      <c r="C10" s="21">
        <f>'Tecnología (TI)'!A7</f>
        <v>0</v>
      </c>
      <c r="D10" s="1">
        <f>COUNTA('Tecnología (TI)'!B11:B25)</f>
        <v>7</v>
      </c>
      <c r="E10" s="10">
        <f>SUM('Tecnología (TI)'!H11:H25)</f>
        <v>6947689</v>
      </c>
      <c r="F10" s="10">
        <f>SUM('Tecnología (TI)'!I11:I25)</f>
        <v>41686134</v>
      </c>
      <c r="G10" s="15">
        <f>SUM('Tecnología (TI)'!J11:J25)</f>
        <v>0</v>
      </c>
      <c r="H10" s="1" t="str">
        <f>COUNTA('Tecnología (TI)'!M11:M25)&amp;" registros"</f>
        <v>7 registros</v>
      </c>
    </row>
    <row r="11" spans="1:8" ht="25.5" customHeight="1">
      <c r="A11" s="12">
        <v>7</v>
      </c>
      <c r="B11" s="20" t="s">
        <v>38</v>
      </c>
      <c r="C11" s="21">
        <f>'Talento Humano'!A7</f>
        <v>0</v>
      </c>
      <c r="D11" s="1">
        <f>COUNTA('Talento Humano'!B11:B20)</f>
        <v>4</v>
      </c>
      <c r="E11" s="10">
        <f>SUM('Talento Humano'!H11:H20)</f>
        <v>9298763</v>
      </c>
      <c r="F11" s="10">
        <f>SUM('Talento Humano'!I11:I20)</f>
        <v>55792578</v>
      </c>
      <c r="G11" s="15">
        <f>SUM('Talento Humano'!J11:J20)</f>
        <v>0</v>
      </c>
      <c r="H11" s="1" t="str">
        <f>COUNTA('Talento Humano'!M11:M20)&amp;" registros"</f>
        <v>3 registros</v>
      </c>
    </row>
    <row r="12" spans="1:8" ht="31.5" customHeight="1">
      <c r="A12" s="44" t="s">
        <v>177</v>
      </c>
      <c r="B12" s="44"/>
      <c r="C12" s="44"/>
      <c r="D12" s="22">
        <f>SUM(D5:D11)</f>
        <v>41</v>
      </c>
      <c r="E12" s="23">
        <f>SUM(E5:E11)</f>
        <v>63313728</v>
      </c>
      <c r="F12" s="23">
        <f>SUM(F5:F11)</f>
        <v>586842574</v>
      </c>
      <c r="G12" s="23">
        <f>SUM(G5:G11)</f>
        <v>0</v>
      </c>
      <c r="H12" s="19"/>
    </row>
    <row r="14" spans="1:8" ht="24" customHeight="1">
      <c r="A14" s="25" t="s">
        <v>178</v>
      </c>
      <c r="B14" s="25"/>
      <c r="C14" s="25"/>
      <c r="D14" s="25"/>
      <c r="E14" s="25"/>
      <c r="F14" s="25"/>
      <c r="G14" s="25"/>
      <c r="H14" s="25"/>
    </row>
  </sheetData>
  <mergeCells count="4">
    <mergeCell ref="A1:H1"/>
    <mergeCell ref="A2:H2"/>
    <mergeCell ref="A12:C12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659427-898e-49ed-a56f-1072001b7353" xsi:nil="true"/>
    <lcf76f155ced4ddcb4097134ff3c332f xmlns="9574537b-d88c-45c5-bf92-642a7a400db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365B722B10C14DBDE0220B3C36001F" ma:contentTypeVersion="11" ma:contentTypeDescription="Crear nuevo documento." ma:contentTypeScope="" ma:versionID="98d550fdb6ace49e081ad3fcaf6d1207">
  <xsd:schema xmlns:xsd="http://www.w3.org/2001/XMLSchema" xmlns:xs="http://www.w3.org/2001/XMLSchema" xmlns:p="http://schemas.microsoft.com/office/2006/metadata/properties" xmlns:ns2="9574537b-d88c-45c5-bf92-642a7a400db0" xmlns:ns3="0d659427-898e-49ed-a56f-1072001b7353" targetNamespace="http://schemas.microsoft.com/office/2006/metadata/properties" ma:root="true" ma:fieldsID="f88af1671d0e70ab73368d8fb79c5748" ns2:_="" ns3:_="">
    <xsd:import namespace="9574537b-d88c-45c5-bf92-642a7a400db0"/>
    <xsd:import namespace="0d659427-898e-49ed-a56f-1072001b73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4537b-d88c-45c5-bf92-642a7a400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6e811c-08b3-4917-a6df-73943279b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59427-898e-49ed-a56f-1072001b73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9aa71cd-388a-44ca-b6ee-20e30ccd92b4}" ma:internalName="TaxCatchAll" ma:showField="CatchAllData" ma:web="0d659427-898e-49ed-a56f-1072001b73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E5042F-9C16-416E-9518-191C5F3E10EC}"/>
</file>

<file path=customXml/itemProps2.xml><?xml version="1.0" encoding="utf-8"?>
<ds:datastoreItem xmlns:ds="http://schemas.openxmlformats.org/officeDocument/2006/customXml" ds:itemID="{39798FFF-57E9-4970-BA36-8729EE53FE2B}"/>
</file>

<file path=customXml/itemProps3.xml><?xml version="1.0" encoding="utf-8"?>
<ds:datastoreItem xmlns:ds="http://schemas.openxmlformats.org/officeDocument/2006/customXml" ds:itemID="{75BAC90E-1205-415E-AA07-B20717494A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2026-05-27T22:25:11Z</dcterms:created>
  <dcterms:modified xsi:type="dcterms:W3CDTF">2026-06-16T19:49:13Z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0x010100C8365B722B10C14DBDE0220B3C36001F</vt:lpwstr>
  </property>
  <property fmtid="{D5CDD505-2E9C-101B-9397-08002B2CF9AE}" pid="3" name="MediaServiceImageTags">
    <vt:lpwstr/>
  </property>
</Properties>
</file>